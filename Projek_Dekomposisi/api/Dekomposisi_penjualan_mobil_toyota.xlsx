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83194980-90C5-4195-83A8-D59DC8E57CC6}" xr6:coauthVersionLast="47" xr6:coauthVersionMax="47" xr10:uidLastSave="{00000000-0000-0000-0000-000000000000}"/>
  <bookViews>
    <workbookView xWindow="-110" yWindow="-110" windowWidth="19420" windowHeight="10300" activeTab="1" xr2:uid="{5725530B-2C55-4403-A19E-F145416CEB88}"/>
  </bookViews>
  <sheets>
    <sheet name="penjualan_mobil_toyota" sheetId="1" r:id="rId1"/>
    <sheet name="DEKOMPOSISI" sheetId="2" r:id="rId2"/>
  </sheets>
  <calcPr calcId="181029"/>
</workbook>
</file>

<file path=xl/calcChain.xml><?xml version="1.0" encoding="utf-8"?>
<calcChain xmlns="http://schemas.openxmlformats.org/spreadsheetml/2006/main">
  <c r="L149" i="2" l="1"/>
  <c r="J149" i="2"/>
  <c r="I149" i="2"/>
  <c r="I145" i="2"/>
  <c r="G149" i="2"/>
  <c r="E149" i="2"/>
  <c r="D149" i="2"/>
  <c r="AK156" i="2" l="1"/>
  <c r="AK157" i="2"/>
  <c r="AK158" i="2"/>
  <c r="AK159" i="2"/>
  <c r="AK160" i="2"/>
  <c r="AL160" i="2" s="1"/>
  <c r="AM160" i="2" s="1"/>
  <c r="AK161" i="2"/>
  <c r="AL161" i="2" s="1"/>
  <c r="AM161" i="2" s="1"/>
  <c r="AK162" i="2"/>
  <c r="AL162" i="2" s="1"/>
  <c r="AM162" i="2" s="1"/>
  <c r="AK163" i="2"/>
  <c r="AK164" i="2"/>
  <c r="AK165" i="2"/>
  <c r="AK166" i="2"/>
  <c r="AK155" i="2"/>
  <c r="AK167" i="2" s="1"/>
  <c r="F146" i="2"/>
  <c r="C14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2" i="2"/>
  <c r="H146" i="2" s="1"/>
  <c r="B151" i="2" s="1"/>
  <c r="G145" i="2"/>
  <c r="G2" i="2"/>
  <c r="G146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E8" i="2"/>
  <c r="E11" i="2"/>
  <c r="E13" i="2"/>
  <c r="E17" i="2"/>
  <c r="E18" i="2"/>
  <c r="E19" i="2"/>
  <c r="E21" i="2"/>
  <c r="E25" i="2"/>
  <c r="E26" i="2"/>
  <c r="E27" i="2"/>
  <c r="E29" i="2"/>
  <c r="E33" i="2"/>
  <c r="E34" i="2"/>
  <c r="E35" i="2"/>
  <c r="E37" i="2"/>
  <c r="E41" i="2"/>
  <c r="E42" i="2"/>
  <c r="E43" i="2"/>
  <c r="E45" i="2"/>
  <c r="E49" i="2"/>
  <c r="E50" i="2"/>
  <c r="E51" i="2"/>
  <c r="E53" i="2"/>
  <c r="E57" i="2"/>
  <c r="E58" i="2"/>
  <c r="E59" i="2"/>
  <c r="E61" i="2"/>
  <c r="E65" i="2"/>
  <c r="E66" i="2"/>
  <c r="E67" i="2"/>
  <c r="E69" i="2"/>
  <c r="E73" i="2"/>
  <c r="E74" i="2"/>
  <c r="E75" i="2"/>
  <c r="E77" i="2"/>
  <c r="E81" i="2"/>
  <c r="E82" i="2"/>
  <c r="E83" i="2"/>
  <c r="E85" i="2"/>
  <c r="E89" i="2"/>
  <c r="E90" i="2"/>
  <c r="E91" i="2"/>
  <c r="E93" i="2"/>
  <c r="E97" i="2"/>
  <c r="E98" i="2"/>
  <c r="E99" i="2"/>
  <c r="E101" i="2"/>
  <c r="E105" i="2"/>
  <c r="E106" i="2"/>
  <c r="E107" i="2"/>
  <c r="E109" i="2"/>
  <c r="E113" i="2"/>
  <c r="E114" i="2"/>
  <c r="E115" i="2"/>
  <c r="E117" i="2"/>
  <c r="E121" i="2"/>
  <c r="E122" i="2"/>
  <c r="E123" i="2"/>
  <c r="E125" i="2"/>
  <c r="E129" i="2"/>
  <c r="E130" i="2"/>
  <c r="E131" i="2"/>
  <c r="E133" i="2"/>
  <c r="E137" i="2"/>
  <c r="E138" i="2"/>
  <c r="E139" i="2"/>
  <c r="E141" i="2"/>
  <c r="E145" i="2"/>
  <c r="D9" i="2"/>
  <c r="E9" i="2" s="1"/>
  <c r="D8" i="2"/>
  <c r="D7" i="2"/>
  <c r="E7" i="2" s="1"/>
  <c r="D6" i="2"/>
  <c r="D10" i="2"/>
  <c r="E10" i="2" s="1"/>
  <c r="D11" i="2"/>
  <c r="D12" i="2"/>
  <c r="E12" i="2" s="1"/>
  <c r="D13" i="2"/>
  <c r="D14" i="2"/>
  <c r="E14" i="2" s="1"/>
  <c r="D15" i="2"/>
  <c r="E15" i="2" s="1"/>
  <c r="D16" i="2"/>
  <c r="E16" i="2" s="1"/>
  <c r="D17" i="2"/>
  <c r="D18" i="2"/>
  <c r="D19" i="2"/>
  <c r="D20" i="2"/>
  <c r="E20" i="2" s="1"/>
  <c r="D21" i="2"/>
  <c r="D22" i="2"/>
  <c r="E22" i="2" s="1"/>
  <c r="D23" i="2"/>
  <c r="E23" i="2" s="1"/>
  <c r="D24" i="2"/>
  <c r="E24" i="2" s="1"/>
  <c r="D25" i="2"/>
  <c r="D26" i="2"/>
  <c r="D27" i="2"/>
  <c r="D28" i="2"/>
  <c r="E28" i="2" s="1"/>
  <c r="D29" i="2"/>
  <c r="D30" i="2"/>
  <c r="E30" i="2" s="1"/>
  <c r="D31" i="2"/>
  <c r="E31" i="2" s="1"/>
  <c r="D32" i="2"/>
  <c r="E32" i="2" s="1"/>
  <c r="D33" i="2"/>
  <c r="D34" i="2"/>
  <c r="D35" i="2"/>
  <c r="D36" i="2"/>
  <c r="E36" i="2" s="1"/>
  <c r="D37" i="2"/>
  <c r="D38" i="2"/>
  <c r="E38" i="2" s="1"/>
  <c r="D39" i="2"/>
  <c r="E39" i="2" s="1"/>
  <c r="D40" i="2"/>
  <c r="E40" i="2" s="1"/>
  <c r="D41" i="2"/>
  <c r="D42" i="2"/>
  <c r="D43" i="2"/>
  <c r="D44" i="2"/>
  <c r="E44" i="2" s="1"/>
  <c r="D45" i="2"/>
  <c r="D46" i="2"/>
  <c r="E46" i="2" s="1"/>
  <c r="D47" i="2"/>
  <c r="E47" i="2" s="1"/>
  <c r="D48" i="2"/>
  <c r="E48" i="2" s="1"/>
  <c r="D49" i="2"/>
  <c r="D50" i="2"/>
  <c r="D51" i="2"/>
  <c r="D52" i="2"/>
  <c r="E52" i="2" s="1"/>
  <c r="D53" i="2"/>
  <c r="D54" i="2"/>
  <c r="E54" i="2" s="1"/>
  <c r="D55" i="2"/>
  <c r="E55" i="2" s="1"/>
  <c r="D56" i="2"/>
  <c r="E56" i="2" s="1"/>
  <c r="D57" i="2"/>
  <c r="D58" i="2"/>
  <c r="D59" i="2"/>
  <c r="D60" i="2"/>
  <c r="E60" i="2" s="1"/>
  <c r="D61" i="2"/>
  <c r="D62" i="2"/>
  <c r="E62" i="2" s="1"/>
  <c r="D63" i="2"/>
  <c r="E63" i="2" s="1"/>
  <c r="D64" i="2"/>
  <c r="E64" i="2" s="1"/>
  <c r="D65" i="2"/>
  <c r="D66" i="2"/>
  <c r="D67" i="2"/>
  <c r="D68" i="2"/>
  <c r="E68" i="2" s="1"/>
  <c r="D69" i="2"/>
  <c r="D70" i="2"/>
  <c r="E70" i="2" s="1"/>
  <c r="D71" i="2"/>
  <c r="E71" i="2" s="1"/>
  <c r="D72" i="2"/>
  <c r="E72" i="2" s="1"/>
  <c r="D73" i="2"/>
  <c r="D74" i="2"/>
  <c r="D75" i="2"/>
  <c r="D76" i="2"/>
  <c r="E76" i="2" s="1"/>
  <c r="D77" i="2"/>
  <c r="D78" i="2"/>
  <c r="E78" i="2" s="1"/>
  <c r="D79" i="2"/>
  <c r="E79" i="2" s="1"/>
  <c r="D80" i="2"/>
  <c r="E80" i="2" s="1"/>
  <c r="D81" i="2"/>
  <c r="D82" i="2"/>
  <c r="D83" i="2"/>
  <c r="D84" i="2"/>
  <c r="E84" i="2" s="1"/>
  <c r="D85" i="2"/>
  <c r="D86" i="2"/>
  <c r="E86" i="2" s="1"/>
  <c r="D87" i="2"/>
  <c r="E87" i="2" s="1"/>
  <c r="D88" i="2"/>
  <c r="E88" i="2" s="1"/>
  <c r="D89" i="2"/>
  <c r="D90" i="2"/>
  <c r="D91" i="2"/>
  <c r="D92" i="2"/>
  <c r="E92" i="2" s="1"/>
  <c r="D93" i="2"/>
  <c r="D94" i="2"/>
  <c r="E94" i="2" s="1"/>
  <c r="D95" i="2"/>
  <c r="E95" i="2" s="1"/>
  <c r="D96" i="2"/>
  <c r="E96" i="2" s="1"/>
  <c r="D97" i="2"/>
  <c r="D98" i="2"/>
  <c r="D99" i="2"/>
  <c r="D100" i="2"/>
  <c r="E100" i="2" s="1"/>
  <c r="D101" i="2"/>
  <c r="D102" i="2"/>
  <c r="E102" i="2" s="1"/>
  <c r="D103" i="2"/>
  <c r="E103" i="2" s="1"/>
  <c r="D104" i="2"/>
  <c r="E104" i="2" s="1"/>
  <c r="D105" i="2"/>
  <c r="D106" i="2"/>
  <c r="D107" i="2"/>
  <c r="D108" i="2"/>
  <c r="E108" i="2" s="1"/>
  <c r="D109" i="2"/>
  <c r="D110" i="2"/>
  <c r="E110" i="2" s="1"/>
  <c r="D111" i="2"/>
  <c r="E111" i="2" s="1"/>
  <c r="D112" i="2"/>
  <c r="E112" i="2" s="1"/>
  <c r="D113" i="2"/>
  <c r="D114" i="2"/>
  <c r="D115" i="2"/>
  <c r="D116" i="2"/>
  <c r="E116" i="2" s="1"/>
  <c r="D117" i="2"/>
  <c r="D118" i="2"/>
  <c r="E118" i="2" s="1"/>
  <c r="D119" i="2"/>
  <c r="E119" i="2" s="1"/>
  <c r="D120" i="2"/>
  <c r="E120" i="2" s="1"/>
  <c r="D121" i="2"/>
  <c r="D122" i="2"/>
  <c r="D123" i="2"/>
  <c r="D124" i="2"/>
  <c r="E124" i="2" s="1"/>
  <c r="D125" i="2"/>
  <c r="D126" i="2"/>
  <c r="E126" i="2" s="1"/>
  <c r="D127" i="2"/>
  <c r="E127" i="2" s="1"/>
  <c r="D128" i="2"/>
  <c r="E128" i="2" s="1"/>
  <c r="D129" i="2"/>
  <c r="D130" i="2"/>
  <c r="D131" i="2"/>
  <c r="D132" i="2"/>
  <c r="E132" i="2" s="1"/>
  <c r="D133" i="2"/>
  <c r="D134" i="2"/>
  <c r="E134" i="2" s="1"/>
  <c r="D135" i="2"/>
  <c r="E135" i="2" s="1"/>
  <c r="D136" i="2"/>
  <c r="E136" i="2" s="1"/>
  <c r="D137" i="2"/>
  <c r="D138" i="2"/>
  <c r="D139" i="2"/>
  <c r="D140" i="2"/>
  <c r="E140" i="2" s="1"/>
  <c r="D141" i="2"/>
  <c r="D142" i="2"/>
  <c r="E142" i="2" s="1"/>
  <c r="D143" i="2"/>
  <c r="E143" i="2" s="1"/>
  <c r="D144" i="2"/>
  <c r="E144" i="2" s="1"/>
  <c r="D145" i="2"/>
  <c r="B150" i="2" l="1"/>
  <c r="AL159" i="2"/>
  <c r="AM159" i="2" s="1"/>
  <c r="AL155" i="2"/>
  <c r="AM155" i="2" s="1"/>
  <c r="AL163" i="2"/>
  <c r="AM163" i="2" s="1"/>
  <c r="AL157" i="2"/>
  <c r="AM157" i="2" s="1"/>
  <c r="AL165" i="2"/>
  <c r="AM165" i="2" s="1"/>
  <c r="AL166" i="2"/>
  <c r="AM166" i="2" s="1"/>
  <c r="AL158" i="2"/>
  <c r="AM158" i="2" s="1"/>
  <c r="AL164" i="2"/>
  <c r="AM164" i="2" s="1"/>
  <c r="AL156" i="2"/>
  <c r="AM156" i="2" s="1"/>
  <c r="I4" i="2" l="1"/>
  <c r="I12" i="2"/>
  <c r="J12" i="2" s="1"/>
  <c r="P12" i="2" s="1"/>
  <c r="Q12" i="2" s="1"/>
  <c r="I20" i="2"/>
  <c r="J20" i="2" s="1"/>
  <c r="L20" i="2" s="1"/>
  <c r="M20" i="2" s="1"/>
  <c r="I28" i="2"/>
  <c r="J28" i="2" s="1"/>
  <c r="L28" i="2" s="1"/>
  <c r="M28" i="2" s="1"/>
  <c r="I36" i="2"/>
  <c r="J36" i="2" s="1"/>
  <c r="P36" i="2" s="1"/>
  <c r="Q36" i="2" s="1"/>
  <c r="S36" i="2" s="1"/>
  <c r="I44" i="2"/>
  <c r="J44" i="2" s="1"/>
  <c r="P44" i="2" s="1"/>
  <c r="Q44" i="2" s="1"/>
  <c r="S44" i="2" s="1"/>
  <c r="I52" i="2"/>
  <c r="J52" i="2" s="1"/>
  <c r="L52" i="2" s="1"/>
  <c r="M52" i="2" s="1"/>
  <c r="I60" i="2"/>
  <c r="J60" i="2" s="1"/>
  <c r="L60" i="2" s="1"/>
  <c r="M60" i="2" s="1"/>
  <c r="N60" i="2" s="1"/>
  <c r="I68" i="2"/>
  <c r="I76" i="2"/>
  <c r="J76" i="2" s="1"/>
  <c r="L76" i="2" s="1"/>
  <c r="M76" i="2" s="1"/>
  <c r="I84" i="2"/>
  <c r="I92" i="2"/>
  <c r="J92" i="2" s="1"/>
  <c r="P92" i="2" s="1"/>
  <c r="Q92" i="2" s="1"/>
  <c r="I100" i="2"/>
  <c r="I108" i="2"/>
  <c r="J108" i="2" s="1"/>
  <c r="P108" i="2" s="1"/>
  <c r="Q108" i="2" s="1"/>
  <c r="S108" i="2" s="1"/>
  <c r="I116" i="2"/>
  <c r="J116" i="2" s="1"/>
  <c r="L116" i="2" s="1"/>
  <c r="M116" i="2" s="1"/>
  <c r="I124" i="2"/>
  <c r="J124" i="2" s="1"/>
  <c r="P124" i="2" s="1"/>
  <c r="Q124" i="2" s="1"/>
  <c r="I132" i="2"/>
  <c r="I140" i="2"/>
  <c r="J140" i="2" s="1"/>
  <c r="L140" i="2" s="1"/>
  <c r="M140" i="2" s="1"/>
  <c r="I5" i="2"/>
  <c r="I13" i="2"/>
  <c r="I21" i="2"/>
  <c r="I29" i="2"/>
  <c r="I37" i="2"/>
  <c r="I45" i="2"/>
  <c r="I53" i="2"/>
  <c r="I61" i="2"/>
  <c r="I69" i="2"/>
  <c r="I77" i="2"/>
  <c r="J77" i="2" s="1"/>
  <c r="P77" i="2" s="1"/>
  <c r="Q77" i="2" s="1"/>
  <c r="I85" i="2"/>
  <c r="I93" i="2"/>
  <c r="I101" i="2"/>
  <c r="I109" i="2"/>
  <c r="I117" i="2"/>
  <c r="I125" i="2"/>
  <c r="I133" i="2"/>
  <c r="I141" i="2"/>
  <c r="I6" i="2"/>
  <c r="I14" i="2"/>
  <c r="J14" i="2" s="1"/>
  <c r="P14" i="2" s="1"/>
  <c r="Q14" i="2" s="1"/>
  <c r="S14" i="2" s="1"/>
  <c r="I22" i="2"/>
  <c r="I30" i="2"/>
  <c r="J30" i="2" s="1"/>
  <c r="P30" i="2" s="1"/>
  <c r="Q30" i="2" s="1"/>
  <c r="S30" i="2" s="1"/>
  <c r="I38" i="2"/>
  <c r="J38" i="2" s="1"/>
  <c r="P38" i="2" s="1"/>
  <c r="Q38" i="2" s="1"/>
  <c r="I46" i="2"/>
  <c r="J46" i="2" s="1"/>
  <c r="L46" i="2" s="1"/>
  <c r="M46" i="2" s="1"/>
  <c r="I54" i="2"/>
  <c r="J54" i="2" s="1"/>
  <c r="P54" i="2" s="1"/>
  <c r="Q54" i="2" s="1"/>
  <c r="I62" i="2"/>
  <c r="J62" i="2" s="1"/>
  <c r="P62" i="2" s="1"/>
  <c r="Q62" i="2" s="1"/>
  <c r="I70" i="2"/>
  <c r="I78" i="2"/>
  <c r="J78" i="2" s="1"/>
  <c r="P78" i="2" s="1"/>
  <c r="Q78" i="2" s="1"/>
  <c r="S78" i="2" s="1"/>
  <c r="I86" i="2"/>
  <c r="J86" i="2" s="1"/>
  <c r="P86" i="2" s="1"/>
  <c r="Q86" i="2" s="1"/>
  <c r="I94" i="2"/>
  <c r="J94" i="2" s="1"/>
  <c r="P94" i="2" s="1"/>
  <c r="Q94" i="2" s="1"/>
  <c r="S94" i="2" s="1"/>
  <c r="I102" i="2"/>
  <c r="I110" i="2"/>
  <c r="I118" i="2"/>
  <c r="J118" i="2" s="1"/>
  <c r="P118" i="2" s="1"/>
  <c r="Q118" i="2" s="1"/>
  <c r="I126" i="2"/>
  <c r="J126" i="2" s="1"/>
  <c r="P126" i="2" s="1"/>
  <c r="Q126" i="2" s="1"/>
  <c r="I134" i="2"/>
  <c r="J134" i="2" s="1"/>
  <c r="L134" i="2" s="1"/>
  <c r="M134" i="2" s="1"/>
  <c r="N134" i="2" s="1"/>
  <c r="I142" i="2"/>
  <c r="J142" i="2" s="1"/>
  <c r="L142" i="2" s="1"/>
  <c r="M142" i="2" s="1"/>
  <c r="N142" i="2" s="1"/>
  <c r="I16" i="2"/>
  <c r="J16" i="2" s="1"/>
  <c r="L16" i="2" s="1"/>
  <c r="M16" i="2" s="1"/>
  <c r="I32" i="2"/>
  <c r="J32" i="2" s="1"/>
  <c r="L32" i="2" s="1"/>
  <c r="M32" i="2" s="1"/>
  <c r="O32" i="2" s="1"/>
  <c r="I48" i="2"/>
  <c r="J48" i="2" s="1"/>
  <c r="P48" i="2" s="1"/>
  <c r="Q48" i="2" s="1"/>
  <c r="I64" i="2"/>
  <c r="J64" i="2" s="1"/>
  <c r="L64" i="2" s="1"/>
  <c r="M64" i="2" s="1"/>
  <c r="I80" i="2"/>
  <c r="I96" i="2"/>
  <c r="J96" i="2" s="1"/>
  <c r="L96" i="2" s="1"/>
  <c r="M96" i="2" s="1"/>
  <c r="I112" i="2"/>
  <c r="J112" i="2" s="1"/>
  <c r="L112" i="2" s="1"/>
  <c r="M112" i="2" s="1"/>
  <c r="O112" i="2" s="1"/>
  <c r="I128" i="2"/>
  <c r="J128" i="2" s="1"/>
  <c r="L128" i="2" s="1"/>
  <c r="M128" i="2" s="1"/>
  <c r="O128" i="2" s="1"/>
  <c r="I144" i="2"/>
  <c r="J144" i="2" s="1"/>
  <c r="P144" i="2" s="1"/>
  <c r="Q144" i="2" s="1"/>
  <c r="I9" i="2"/>
  <c r="I25" i="2"/>
  <c r="J25" i="2" s="1"/>
  <c r="L25" i="2" s="1"/>
  <c r="M25" i="2" s="1"/>
  <c r="I41" i="2"/>
  <c r="I57" i="2"/>
  <c r="J57" i="2" s="1"/>
  <c r="L57" i="2" s="1"/>
  <c r="M57" i="2" s="1"/>
  <c r="I73" i="2"/>
  <c r="J73" i="2" s="1"/>
  <c r="P73" i="2" s="1"/>
  <c r="Q73" i="2" s="1"/>
  <c r="I89" i="2"/>
  <c r="J89" i="2" s="1"/>
  <c r="P89" i="2" s="1"/>
  <c r="Q89" i="2" s="1"/>
  <c r="S89" i="2" s="1"/>
  <c r="I105" i="2"/>
  <c r="J105" i="2" s="1"/>
  <c r="L105" i="2" s="1"/>
  <c r="M105" i="2" s="1"/>
  <c r="O105" i="2" s="1"/>
  <c r="I121" i="2"/>
  <c r="J121" i="2" s="1"/>
  <c r="L121" i="2" s="1"/>
  <c r="M121" i="2" s="1"/>
  <c r="I137" i="2"/>
  <c r="J137" i="2" s="1"/>
  <c r="P137" i="2" s="1"/>
  <c r="Q137" i="2" s="1"/>
  <c r="R137" i="2" s="1"/>
  <c r="I7" i="2"/>
  <c r="I15" i="2"/>
  <c r="I23" i="2"/>
  <c r="I31" i="2"/>
  <c r="I39" i="2"/>
  <c r="I47" i="2"/>
  <c r="I55" i="2"/>
  <c r="I63" i="2"/>
  <c r="I71" i="2"/>
  <c r="I79" i="2"/>
  <c r="I87" i="2"/>
  <c r="I95" i="2"/>
  <c r="I103" i="2"/>
  <c r="I111" i="2"/>
  <c r="I119" i="2"/>
  <c r="I127" i="2"/>
  <c r="I135" i="2"/>
  <c r="I143" i="2"/>
  <c r="I8" i="2"/>
  <c r="J8" i="2" s="1"/>
  <c r="L8" i="2" s="1"/>
  <c r="M8" i="2" s="1"/>
  <c r="I24" i="2"/>
  <c r="I40" i="2"/>
  <c r="I56" i="2"/>
  <c r="J56" i="2" s="1"/>
  <c r="P56" i="2" s="1"/>
  <c r="Q56" i="2" s="1"/>
  <c r="R56" i="2" s="1"/>
  <c r="I72" i="2"/>
  <c r="J72" i="2" s="1"/>
  <c r="L72" i="2" s="1"/>
  <c r="M72" i="2" s="1"/>
  <c r="I88" i="2"/>
  <c r="I104" i="2"/>
  <c r="I120" i="2"/>
  <c r="J120" i="2" s="1"/>
  <c r="P120" i="2" s="1"/>
  <c r="Q120" i="2" s="1"/>
  <c r="I136" i="2"/>
  <c r="J136" i="2" s="1"/>
  <c r="P136" i="2" s="1"/>
  <c r="Q136" i="2" s="1"/>
  <c r="I17" i="2"/>
  <c r="J17" i="2" s="1"/>
  <c r="P17" i="2" s="1"/>
  <c r="Q17" i="2" s="1"/>
  <c r="I33" i="2"/>
  <c r="J33" i="2" s="1"/>
  <c r="L33" i="2" s="1"/>
  <c r="M33" i="2" s="1"/>
  <c r="O33" i="2" s="1"/>
  <c r="I49" i="2"/>
  <c r="J49" i="2" s="1"/>
  <c r="L49" i="2" s="1"/>
  <c r="M49" i="2" s="1"/>
  <c r="O49" i="2" s="1"/>
  <c r="I65" i="2"/>
  <c r="J65" i="2" s="1"/>
  <c r="L65" i="2" s="1"/>
  <c r="M65" i="2" s="1"/>
  <c r="I81" i="2"/>
  <c r="J81" i="2" s="1"/>
  <c r="P81" i="2" s="1"/>
  <c r="Q81" i="2" s="1"/>
  <c r="S81" i="2" s="1"/>
  <c r="I97" i="2"/>
  <c r="J97" i="2" s="1"/>
  <c r="L97" i="2" s="1"/>
  <c r="M97" i="2" s="1"/>
  <c r="I113" i="2"/>
  <c r="I129" i="2"/>
  <c r="J145" i="2"/>
  <c r="L145" i="2" s="1"/>
  <c r="M145" i="2" s="1"/>
  <c r="I10" i="2"/>
  <c r="I18" i="2"/>
  <c r="J18" i="2" s="1"/>
  <c r="L18" i="2" s="1"/>
  <c r="M18" i="2" s="1"/>
  <c r="O18" i="2" s="1"/>
  <c r="I26" i="2"/>
  <c r="J26" i="2" s="1"/>
  <c r="P26" i="2" s="1"/>
  <c r="Q26" i="2" s="1"/>
  <c r="I34" i="2"/>
  <c r="I42" i="2"/>
  <c r="J42" i="2" s="1"/>
  <c r="L42" i="2" s="1"/>
  <c r="M42" i="2" s="1"/>
  <c r="I50" i="2"/>
  <c r="J50" i="2" s="1"/>
  <c r="L50" i="2" s="1"/>
  <c r="M50" i="2" s="1"/>
  <c r="I58" i="2"/>
  <c r="J58" i="2" s="1"/>
  <c r="P58" i="2" s="1"/>
  <c r="Q58" i="2" s="1"/>
  <c r="I66" i="2"/>
  <c r="J66" i="2" s="1"/>
  <c r="L66" i="2" s="1"/>
  <c r="M66" i="2" s="1"/>
  <c r="I74" i="2"/>
  <c r="J74" i="2" s="1"/>
  <c r="P74" i="2" s="1"/>
  <c r="Q74" i="2" s="1"/>
  <c r="R74" i="2" s="1"/>
  <c r="I82" i="2"/>
  <c r="J82" i="2" s="1"/>
  <c r="P82" i="2" s="1"/>
  <c r="Q82" i="2" s="1"/>
  <c r="R82" i="2" s="1"/>
  <c r="I90" i="2"/>
  <c r="I98" i="2"/>
  <c r="I106" i="2"/>
  <c r="J106" i="2" s="1"/>
  <c r="P106" i="2" s="1"/>
  <c r="Q106" i="2" s="1"/>
  <c r="I114" i="2"/>
  <c r="J114" i="2" s="1"/>
  <c r="P114" i="2" s="1"/>
  <c r="Q114" i="2" s="1"/>
  <c r="I122" i="2"/>
  <c r="I130" i="2"/>
  <c r="J130" i="2" s="1"/>
  <c r="L130" i="2" s="1"/>
  <c r="M130" i="2" s="1"/>
  <c r="I138" i="2"/>
  <c r="J138" i="2" s="1"/>
  <c r="L138" i="2" s="1"/>
  <c r="M138" i="2" s="1"/>
  <c r="N138" i="2" s="1"/>
  <c r="I2" i="2"/>
  <c r="I3" i="2"/>
  <c r="I11" i="2"/>
  <c r="J11" i="2" s="1"/>
  <c r="L11" i="2" s="1"/>
  <c r="M11" i="2" s="1"/>
  <c r="O11" i="2" s="1"/>
  <c r="I19" i="2"/>
  <c r="I27" i="2"/>
  <c r="I35" i="2"/>
  <c r="J35" i="2" s="1"/>
  <c r="P35" i="2" s="1"/>
  <c r="Q35" i="2" s="1"/>
  <c r="I43" i="2"/>
  <c r="J43" i="2" s="1"/>
  <c r="P43" i="2" s="1"/>
  <c r="Q43" i="2" s="1"/>
  <c r="I51" i="2"/>
  <c r="I59" i="2"/>
  <c r="I67" i="2"/>
  <c r="I75" i="2"/>
  <c r="I83" i="2"/>
  <c r="I91" i="2"/>
  <c r="I99" i="2"/>
  <c r="J99" i="2" s="1"/>
  <c r="L99" i="2" s="1"/>
  <c r="M99" i="2" s="1"/>
  <c r="I107" i="2"/>
  <c r="I115" i="2"/>
  <c r="J115" i="2" s="1"/>
  <c r="L115" i="2" s="1"/>
  <c r="M115" i="2" s="1"/>
  <c r="O115" i="2" s="1"/>
  <c r="I123" i="2"/>
  <c r="J123" i="2" s="1"/>
  <c r="P123" i="2" s="1"/>
  <c r="Q123" i="2" s="1"/>
  <c r="R123" i="2" s="1"/>
  <c r="I131" i="2"/>
  <c r="J131" i="2" s="1"/>
  <c r="P131" i="2" s="1"/>
  <c r="Q131" i="2" s="1"/>
  <c r="I139" i="2"/>
  <c r="P99" i="2"/>
  <c r="Q99" i="2" s="1"/>
  <c r="R99" i="2" s="1"/>
  <c r="L26" i="2"/>
  <c r="M26" i="2" s="1"/>
  <c r="O26" i="2" s="1"/>
  <c r="P28" i="2"/>
  <c r="Q28" i="2" s="1"/>
  <c r="S28" i="2" s="1"/>
  <c r="P64" i="2"/>
  <c r="Q64" i="2" s="1"/>
  <c r="R64" i="2" s="1"/>
  <c r="P116" i="2"/>
  <c r="Q116" i="2" s="1"/>
  <c r="L73" i="2"/>
  <c r="M73" i="2" s="1"/>
  <c r="L54" i="2"/>
  <c r="M54" i="2" s="1"/>
  <c r="N54" i="2" s="1"/>
  <c r="P33" i="2"/>
  <c r="Q33" i="2" s="1"/>
  <c r="R33" i="2" s="1"/>
  <c r="L30" i="2"/>
  <c r="M30" i="2" s="1"/>
  <c r="O30" i="2" s="1"/>
  <c r="L120" i="2"/>
  <c r="M120" i="2" s="1"/>
  <c r="P96" i="2"/>
  <c r="Q96" i="2" s="1"/>
  <c r="L137" i="2"/>
  <c r="M137" i="2" s="1"/>
  <c r="O137" i="2" s="1"/>
  <c r="P52" i="2"/>
  <c r="Q52" i="2" s="1"/>
  <c r="R52" i="2" s="1"/>
  <c r="P57" i="2"/>
  <c r="Q57" i="2" s="1"/>
  <c r="S57" i="2" s="1"/>
  <c r="P97" i="2"/>
  <c r="Q97" i="2" s="1"/>
  <c r="L144" i="2"/>
  <c r="M144" i="2" s="1"/>
  <c r="P65" i="2"/>
  <c r="Q65" i="2" s="1"/>
  <c r="P76" i="2"/>
  <c r="Q76" i="2" s="1"/>
  <c r="S76" i="2" s="1"/>
  <c r="L126" i="2"/>
  <c r="M126" i="2" s="1"/>
  <c r="O126" i="2" s="1"/>
  <c r="L77" i="2"/>
  <c r="M77" i="2" s="1"/>
  <c r="P16" i="2"/>
  <c r="Q16" i="2" s="1"/>
  <c r="S16" i="2" s="1"/>
  <c r="P46" i="2"/>
  <c r="Q46" i="2" s="1"/>
  <c r="R114" i="2"/>
  <c r="S114" i="2"/>
  <c r="S12" i="2"/>
  <c r="R12" i="2"/>
  <c r="S17" i="2"/>
  <c r="R17" i="2"/>
  <c r="O25" i="2"/>
  <c r="N25" i="2"/>
  <c r="O28" i="2"/>
  <c r="N28" i="2"/>
  <c r="S74" i="2"/>
  <c r="R48" i="2"/>
  <c r="S48" i="2"/>
  <c r="O66" i="2"/>
  <c r="N66" i="2"/>
  <c r="S124" i="2"/>
  <c r="R124" i="2"/>
  <c r="R36" i="2"/>
  <c r="O50" i="2"/>
  <c r="N50" i="2"/>
  <c r="R58" i="2"/>
  <c r="S58" i="2"/>
  <c r="O130" i="2"/>
  <c r="N130" i="2"/>
  <c r="R144" i="2"/>
  <c r="S144" i="2"/>
  <c r="O72" i="2"/>
  <c r="N72" i="2"/>
  <c r="O121" i="2"/>
  <c r="N121" i="2"/>
  <c r="S38" i="2"/>
  <c r="R38" i="2"/>
  <c r="N52" i="2"/>
  <c r="O52" i="2"/>
  <c r="N33" i="2"/>
  <c r="R136" i="2"/>
  <c r="S136" i="2"/>
  <c r="O64" i="2"/>
  <c r="N64" i="2"/>
  <c r="N16" i="2"/>
  <c r="O16" i="2"/>
  <c r="O65" i="2"/>
  <c r="N65" i="2"/>
  <c r="R43" i="2"/>
  <c r="S43" i="2"/>
  <c r="R131" i="2"/>
  <c r="S131" i="2"/>
  <c r="S86" i="2"/>
  <c r="R86" i="2"/>
  <c r="O145" i="2"/>
  <c r="N145" i="2"/>
  <c r="O46" i="2"/>
  <c r="N46" i="2"/>
  <c r="R89" i="2"/>
  <c r="O97" i="2"/>
  <c r="N97" i="2"/>
  <c r="S92" i="2"/>
  <c r="R92" i="2"/>
  <c r="O134" i="2"/>
  <c r="O96" i="2"/>
  <c r="N96" i="2"/>
  <c r="S137" i="2"/>
  <c r="O42" i="2"/>
  <c r="N42" i="2"/>
  <c r="R106" i="2"/>
  <c r="S106" i="2"/>
  <c r="S118" i="2"/>
  <c r="R118" i="2"/>
  <c r="N20" i="2"/>
  <c r="O20" i="2"/>
  <c r="S62" i="2"/>
  <c r="R62" i="2"/>
  <c r="L136" i="2"/>
  <c r="M136" i="2" s="1"/>
  <c r="S46" i="2"/>
  <c r="R46" i="2"/>
  <c r="O120" i="2"/>
  <c r="N120" i="2"/>
  <c r="O73" i="2"/>
  <c r="N73" i="2"/>
  <c r="P8" i="2"/>
  <c r="Q8" i="2" s="1"/>
  <c r="P72" i="2"/>
  <c r="Q72" i="2" s="1"/>
  <c r="L106" i="2"/>
  <c r="M106" i="2" s="1"/>
  <c r="P105" i="2"/>
  <c r="Q105" i="2" s="1"/>
  <c r="R35" i="2"/>
  <c r="S35" i="2"/>
  <c r="R26" i="2"/>
  <c r="S26" i="2"/>
  <c r="L86" i="2"/>
  <c r="M86" i="2" s="1"/>
  <c r="P20" i="2"/>
  <c r="Q20" i="2" s="1"/>
  <c r="L17" i="2"/>
  <c r="M17" i="2" s="1"/>
  <c r="L48" i="2"/>
  <c r="M48" i="2" s="1"/>
  <c r="S126" i="2"/>
  <c r="R126" i="2"/>
  <c r="S64" i="2"/>
  <c r="R97" i="2"/>
  <c r="S97" i="2"/>
  <c r="O144" i="2"/>
  <c r="N144" i="2"/>
  <c r="P115" i="2"/>
  <c r="Q115" i="2" s="1"/>
  <c r="R96" i="2"/>
  <c r="S96" i="2"/>
  <c r="L124" i="2"/>
  <c r="M124" i="2" s="1"/>
  <c r="P142" i="2"/>
  <c r="Q142" i="2" s="1"/>
  <c r="N116" i="2"/>
  <c r="O116" i="2"/>
  <c r="N76" i="2"/>
  <c r="O76" i="2"/>
  <c r="R14" i="2"/>
  <c r="S54" i="2"/>
  <c r="R54" i="2"/>
  <c r="O57" i="2"/>
  <c r="N57" i="2"/>
  <c r="S116" i="2"/>
  <c r="R116" i="2"/>
  <c r="O138" i="2"/>
  <c r="S65" i="2"/>
  <c r="R65" i="2"/>
  <c r="L118" i="2"/>
  <c r="M118" i="2" s="1"/>
  <c r="L12" i="2"/>
  <c r="M12" i="2" s="1"/>
  <c r="N8" i="2"/>
  <c r="O8" i="2"/>
  <c r="S73" i="2"/>
  <c r="R73" i="2"/>
  <c r="P42" i="2"/>
  <c r="Q42" i="2" s="1"/>
  <c r="P130" i="2"/>
  <c r="Q130" i="2" s="1"/>
  <c r="L114" i="2"/>
  <c r="M114" i="2" s="1"/>
  <c r="N140" i="2"/>
  <c r="O140" i="2"/>
  <c r="L131" i="2"/>
  <c r="M131" i="2" s="1"/>
  <c r="L92" i="2"/>
  <c r="M92" i="2" s="1"/>
  <c r="L81" i="2"/>
  <c r="M81" i="2" s="1"/>
  <c r="L62" i="2"/>
  <c r="M62" i="2" s="1"/>
  <c r="L94" i="2"/>
  <c r="M94" i="2" s="1"/>
  <c r="L43" i="2"/>
  <c r="M43" i="2" s="1"/>
  <c r="O99" i="2"/>
  <c r="N99" i="2"/>
  <c r="L58" i="2"/>
  <c r="M58" i="2" s="1"/>
  <c r="P50" i="2"/>
  <c r="Q50" i="2" s="1"/>
  <c r="L38" i="2"/>
  <c r="M38" i="2" s="1"/>
  <c r="P140" i="2"/>
  <c r="Q140" i="2" s="1"/>
  <c r="L35" i="2"/>
  <c r="M35" i="2" s="1"/>
  <c r="P145" i="2"/>
  <c r="Q145" i="2" s="1"/>
  <c r="R76" i="2"/>
  <c r="N30" i="2"/>
  <c r="O54" i="2"/>
  <c r="R120" i="2"/>
  <c r="S120" i="2"/>
  <c r="P25" i="2"/>
  <c r="Q25" i="2" s="1"/>
  <c r="S77" i="2"/>
  <c r="R77" i="2"/>
  <c r="N126" i="2" l="1"/>
  <c r="R78" i="2"/>
  <c r="S82" i="2"/>
  <c r="J139" i="2"/>
  <c r="L139" i="2"/>
  <c r="M139" i="2" s="1"/>
  <c r="P139" i="2"/>
  <c r="Q139" i="2" s="1"/>
  <c r="J75" i="2"/>
  <c r="L75" i="2" s="1"/>
  <c r="M75" i="2" s="1"/>
  <c r="P75" i="2"/>
  <c r="Q75" i="2" s="1"/>
  <c r="J98" i="2"/>
  <c r="P98" i="2"/>
  <c r="Q98" i="2" s="1"/>
  <c r="L98" i="2"/>
  <c r="M98" i="2" s="1"/>
  <c r="J34" i="2"/>
  <c r="P34" i="2" s="1"/>
  <c r="Q34" i="2" s="1"/>
  <c r="L34" i="2"/>
  <c r="M34" i="2" s="1"/>
  <c r="J88" i="2"/>
  <c r="P88" i="2" s="1"/>
  <c r="Q88" i="2" s="1"/>
  <c r="L88" i="2"/>
  <c r="M88" i="2" s="1"/>
  <c r="J127" i="2"/>
  <c r="P127" i="2"/>
  <c r="Q127" i="2" s="1"/>
  <c r="L127" i="2"/>
  <c r="M127" i="2" s="1"/>
  <c r="J63" i="2"/>
  <c r="L63" i="2" s="1"/>
  <c r="M63" i="2" s="1"/>
  <c r="P63" i="2"/>
  <c r="Q63" i="2" s="1"/>
  <c r="J9" i="2"/>
  <c r="L9" i="2" s="1"/>
  <c r="M9" i="2" s="1"/>
  <c r="P9" i="2"/>
  <c r="Q9" i="2" s="1"/>
  <c r="J109" i="2"/>
  <c r="P109" i="2"/>
  <c r="Q109" i="2" s="1"/>
  <c r="L109" i="2"/>
  <c r="M109" i="2" s="1"/>
  <c r="J45" i="2"/>
  <c r="P45" i="2"/>
  <c r="Q45" i="2" s="1"/>
  <c r="L45" i="2"/>
  <c r="M45" i="2" s="1"/>
  <c r="P138" i="2"/>
  <c r="Q138" i="2" s="1"/>
  <c r="P11" i="2"/>
  <c r="Q11" i="2" s="1"/>
  <c r="R11" i="2" s="1"/>
  <c r="L56" i="2"/>
  <c r="M56" i="2" s="1"/>
  <c r="L82" i="2"/>
  <c r="M82" i="2" s="1"/>
  <c r="N82" i="2" s="1"/>
  <c r="L44" i="2"/>
  <c r="M44" i="2" s="1"/>
  <c r="J67" i="2"/>
  <c r="P67" i="2"/>
  <c r="Q67" i="2" s="1"/>
  <c r="L67" i="2"/>
  <c r="M67" i="2" s="1"/>
  <c r="J90" i="2"/>
  <c r="L90" i="2" s="1"/>
  <c r="M90" i="2" s="1"/>
  <c r="J119" i="2"/>
  <c r="L119" i="2" s="1"/>
  <c r="M119" i="2" s="1"/>
  <c r="J55" i="2"/>
  <c r="P55" i="2" s="1"/>
  <c r="Q55" i="2" s="1"/>
  <c r="J22" i="2"/>
  <c r="L22" i="2" s="1"/>
  <c r="M22" i="2" s="1"/>
  <c r="J101" i="2"/>
  <c r="L101" i="2" s="1"/>
  <c r="M101" i="2" s="1"/>
  <c r="P101" i="2"/>
  <c r="Q101" i="2" s="1"/>
  <c r="J37" i="2"/>
  <c r="L37" i="2" s="1"/>
  <c r="M37" i="2" s="1"/>
  <c r="J47" i="2"/>
  <c r="P47" i="2" s="1"/>
  <c r="Q47" i="2" s="1"/>
  <c r="L47" i="2"/>
  <c r="M47" i="2" s="1"/>
  <c r="J93" i="2"/>
  <c r="L93" i="2" s="1"/>
  <c r="M93" i="2" s="1"/>
  <c r="P93" i="2"/>
  <c r="Q93" i="2" s="1"/>
  <c r="R57" i="2"/>
  <c r="J51" i="2"/>
  <c r="P51" i="2" s="1"/>
  <c r="Q51" i="2" s="1"/>
  <c r="L51" i="2"/>
  <c r="M51" i="2" s="1"/>
  <c r="J21" i="2"/>
  <c r="L21" i="2" s="1"/>
  <c r="M21" i="2" s="1"/>
  <c r="P21" i="2"/>
  <c r="Q21" i="2" s="1"/>
  <c r="P128" i="2"/>
  <c r="Q128" i="2" s="1"/>
  <c r="S128" i="2" s="1"/>
  <c r="L36" i="2"/>
  <c r="M36" i="2" s="1"/>
  <c r="R44" i="2"/>
  <c r="S123" i="2"/>
  <c r="S52" i="2"/>
  <c r="S33" i="2"/>
  <c r="R81" i="2"/>
  <c r="N105" i="2"/>
  <c r="N115" i="2"/>
  <c r="O60" i="2"/>
  <c r="N128" i="2"/>
  <c r="P49" i="2"/>
  <c r="Q49" i="2" s="1"/>
  <c r="J107" i="2"/>
  <c r="L107" i="2" s="1"/>
  <c r="M107" i="2" s="1"/>
  <c r="J24" i="2"/>
  <c r="L24" i="2" s="1"/>
  <c r="M24" i="2" s="1"/>
  <c r="P24" i="2"/>
  <c r="Q24" i="2" s="1"/>
  <c r="L95" i="2"/>
  <c r="M95" i="2" s="1"/>
  <c r="J95" i="2"/>
  <c r="P95" i="2" s="1"/>
  <c r="Q95" i="2" s="1"/>
  <c r="J31" i="2"/>
  <c r="L31" i="2" s="1"/>
  <c r="M31" i="2" s="1"/>
  <c r="J141" i="2"/>
  <c r="P141" i="2" s="1"/>
  <c r="Q141" i="2" s="1"/>
  <c r="J13" i="2"/>
  <c r="L13" i="2"/>
  <c r="M13" i="2" s="1"/>
  <c r="P13" i="2"/>
  <c r="Q13" i="2" s="1"/>
  <c r="J29" i="2"/>
  <c r="L29" i="2" s="1"/>
  <c r="M29" i="2" s="1"/>
  <c r="P29" i="2"/>
  <c r="Q29" i="2" s="1"/>
  <c r="J40" i="2"/>
  <c r="L40" i="2" s="1"/>
  <c r="M40" i="2" s="1"/>
  <c r="P40" i="2"/>
  <c r="Q40" i="2" s="1"/>
  <c r="J70" i="2"/>
  <c r="P70" i="2" s="1"/>
  <c r="Q70" i="2" s="1"/>
  <c r="N18" i="2"/>
  <c r="N137" i="2"/>
  <c r="R30" i="2"/>
  <c r="N26" i="2"/>
  <c r="L78" i="2"/>
  <c r="M78" i="2" s="1"/>
  <c r="P60" i="2"/>
  <c r="Q60" i="2" s="1"/>
  <c r="P112" i="2"/>
  <c r="Q112" i="2" s="1"/>
  <c r="R108" i="2"/>
  <c r="L89" i="2"/>
  <c r="M89" i="2" s="1"/>
  <c r="N89" i="2" s="1"/>
  <c r="L108" i="2"/>
  <c r="M108" i="2" s="1"/>
  <c r="L122" i="2"/>
  <c r="M122" i="2" s="1"/>
  <c r="J122" i="2"/>
  <c r="P122" i="2" s="1"/>
  <c r="Q122" i="2" s="1"/>
  <c r="J129" i="2"/>
  <c r="L129" i="2" s="1"/>
  <c r="M129" i="2" s="1"/>
  <c r="P129" i="2"/>
  <c r="Q129" i="2" s="1"/>
  <c r="J87" i="2"/>
  <c r="P87" i="2" s="1"/>
  <c r="Q87" i="2" s="1"/>
  <c r="J23" i="2"/>
  <c r="L23" i="2" s="1"/>
  <c r="M23" i="2" s="1"/>
  <c r="P23" i="2"/>
  <c r="Q23" i="2" s="1"/>
  <c r="J80" i="2"/>
  <c r="L80" i="2" s="1"/>
  <c r="M80" i="2" s="1"/>
  <c r="P80" i="2"/>
  <c r="Q80" i="2" s="1"/>
  <c r="J133" i="2"/>
  <c r="P133" i="2" s="1"/>
  <c r="Q133" i="2" s="1"/>
  <c r="L133" i="2"/>
  <c r="M133" i="2" s="1"/>
  <c r="J69" i="2"/>
  <c r="L69" i="2" s="1"/>
  <c r="M69" i="2" s="1"/>
  <c r="P84" i="2"/>
  <c r="Q84" i="2" s="1"/>
  <c r="J84" i="2"/>
  <c r="L84" i="2" s="1"/>
  <c r="M84" i="2" s="1"/>
  <c r="J103" i="2"/>
  <c r="L103" i="2" s="1"/>
  <c r="M103" i="2" s="1"/>
  <c r="P103" i="2"/>
  <c r="Q103" i="2" s="1"/>
  <c r="J85" i="2"/>
  <c r="P85" i="2" s="1"/>
  <c r="Q85" i="2" s="1"/>
  <c r="L85" i="2"/>
  <c r="M85" i="2" s="1"/>
  <c r="L123" i="2"/>
  <c r="M123" i="2" s="1"/>
  <c r="N123" i="2" s="1"/>
  <c r="P32" i="2"/>
  <c r="Q32" i="2" s="1"/>
  <c r="L74" i="2"/>
  <c r="M74" i="2" s="1"/>
  <c r="N74" i="2" s="1"/>
  <c r="S99" i="2"/>
  <c r="N49" i="2"/>
  <c r="R94" i="2"/>
  <c r="N11" i="2"/>
  <c r="S56" i="2"/>
  <c r="N112" i="2"/>
  <c r="N32" i="2"/>
  <c r="O142" i="2"/>
  <c r="J91" i="2"/>
  <c r="L91" i="2"/>
  <c r="M91" i="2" s="1"/>
  <c r="P91" i="2"/>
  <c r="Q91" i="2" s="1"/>
  <c r="J27" i="2"/>
  <c r="P27" i="2"/>
  <c r="Q27" i="2" s="1"/>
  <c r="L27" i="2"/>
  <c r="M27" i="2" s="1"/>
  <c r="J113" i="2"/>
  <c r="P113" i="2" s="1"/>
  <c r="Q113" i="2" s="1"/>
  <c r="J143" i="2"/>
  <c r="P143" i="2"/>
  <c r="Q143" i="2" s="1"/>
  <c r="L143" i="2"/>
  <c r="M143" i="2" s="1"/>
  <c r="J79" i="2"/>
  <c r="L79" i="2" s="1"/>
  <c r="M79" i="2" s="1"/>
  <c r="P79" i="2"/>
  <c r="Q79" i="2" s="1"/>
  <c r="J15" i="2"/>
  <c r="L15" i="2" s="1"/>
  <c r="M15" i="2" s="1"/>
  <c r="L41" i="2"/>
  <c r="M41" i="2" s="1"/>
  <c r="J41" i="2"/>
  <c r="P41" i="2" s="1"/>
  <c r="Q41" i="2" s="1"/>
  <c r="J110" i="2"/>
  <c r="L110" i="2" s="1"/>
  <c r="M110" i="2" s="1"/>
  <c r="J125" i="2"/>
  <c r="L125" i="2" s="1"/>
  <c r="M125" i="2" s="1"/>
  <c r="P125" i="2"/>
  <c r="Q125" i="2" s="1"/>
  <c r="J61" i="2"/>
  <c r="L61" i="2" s="1"/>
  <c r="M61" i="2" s="1"/>
  <c r="J59" i="2"/>
  <c r="L59" i="2" s="1"/>
  <c r="M59" i="2" s="1"/>
  <c r="J111" i="2"/>
  <c r="L111" i="2" s="1"/>
  <c r="M111" i="2" s="1"/>
  <c r="J10" i="2"/>
  <c r="P10" i="2" s="1"/>
  <c r="Q10" i="2" s="1"/>
  <c r="L10" i="2"/>
  <c r="M10" i="2" s="1"/>
  <c r="J39" i="2"/>
  <c r="L39" i="2" s="1"/>
  <c r="M39" i="2" s="1"/>
  <c r="P39" i="2"/>
  <c r="Q39" i="2" s="1"/>
  <c r="J100" i="2"/>
  <c r="P100" i="2" s="1"/>
  <c r="Q100" i="2" s="1"/>
  <c r="R16" i="2"/>
  <c r="P134" i="2"/>
  <c r="Q134" i="2" s="1"/>
  <c r="R134" i="2" s="1"/>
  <c r="P66" i="2"/>
  <c r="Q66" i="2" s="1"/>
  <c r="P18" i="2"/>
  <c r="Q18" i="2" s="1"/>
  <c r="L14" i="2"/>
  <c r="M14" i="2" s="1"/>
  <c r="P121" i="2"/>
  <c r="Q121" i="2" s="1"/>
  <c r="J83" i="2"/>
  <c r="L83" i="2" s="1"/>
  <c r="M83" i="2" s="1"/>
  <c r="J19" i="2"/>
  <c r="L19" i="2"/>
  <c r="M19" i="2" s="1"/>
  <c r="P19" i="2"/>
  <c r="Q19" i="2" s="1"/>
  <c r="J104" i="2"/>
  <c r="L104" i="2" s="1"/>
  <c r="M104" i="2" s="1"/>
  <c r="P104" i="2"/>
  <c r="Q104" i="2" s="1"/>
  <c r="J135" i="2"/>
  <c r="L135" i="2"/>
  <c r="M135" i="2" s="1"/>
  <c r="P135" i="2"/>
  <c r="Q135" i="2" s="1"/>
  <c r="J71" i="2"/>
  <c r="L71" i="2" s="1"/>
  <c r="M71" i="2" s="1"/>
  <c r="P71" i="2"/>
  <c r="Q71" i="2" s="1"/>
  <c r="J7" i="2"/>
  <c r="L7" i="2" s="1"/>
  <c r="M7" i="2" s="1"/>
  <c r="P7" i="2"/>
  <c r="Q7" i="2" s="1"/>
  <c r="J102" i="2"/>
  <c r="L102" i="2" s="1"/>
  <c r="M102" i="2" s="1"/>
  <c r="J117" i="2"/>
  <c r="L117" i="2" s="1"/>
  <c r="M117" i="2" s="1"/>
  <c r="P117" i="2"/>
  <c r="Q117" i="2" s="1"/>
  <c r="J53" i="2"/>
  <c r="L53" i="2" s="1"/>
  <c r="M53" i="2" s="1"/>
  <c r="P132" i="2"/>
  <c r="Q132" i="2" s="1"/>
  <c r="J132" i="2"/>
  <c r="L132" i="2" s="1"/>
  <c r="M132" i="2" s="1"/>
  <c r="J68" i="2"/>
  <c r="P68" i="2" s="1"/>
  <c r="Q68" i="2" s="1"/>
  <c r="R28" i="2"/>
  <c r="O82" i="2"/>
  <c r="N77" i="2"/>
  <c r="O77" i="2"/>
  <c r="R115" i="2"/>
  <c r="S115" i="2"/>
  <c r="O48" i="2"/>
  <c r="N48" i="2"/>
  <c r="S20" i="2"/>
  <c r="R20" i="2"/>
  <c r="R8" i="2"/>
  <c r="S8" i="2"/>
  <c r="O35" i="2"/>
  <c r="N35" i="2"/>
  <c r="O94" i="2"/>
  <c r="N94" i="2"/>
  <c r="N36" i="2"/>
  <c r="O36" i="2"/>
  <c r="S142" i="2"/>
  <c r="R142" i="2"/>
  <c r="O56" i="2"/>
  <c r="N56" i="2"/>
  <c r="O131" i="2"/>
  <c r="N131" i="2"/>
  <c r="R138" i="2"/>
  <c r="S138" i="2"/>
  <c r="N62" i="2"/>
  <c r="O62" i="2"/>
  <c r="R50" i="2"/>
  <c r="S50" i="2"/>
  <c r="O81" i="2"/>
  <c r="N81" i="2"/>
  <c r="O17" i="2"/>
  <c r="N17" i="2"/>
  <c r="R105" i="2"/>
  <c r="S105" i="2"/>
  <c r="S140" i="2"/>
  <c r="R140" i="2"/>
  <c r="R130" i="2"/>
  <c r="S130" i="2"/>
  <c r="R145" i="2"/>
  <c r="S145" i="2"/>
  <c r="O58" i="2"/>
  <c r="N58" i="2"/>
  <c r="R42" i="2"/>
  <c r="S42" i="2"/>
  <c r="N12" i="2"/>
  <c r="O12" i="2"/>
  <c r="R112" i="2"/>
  <c r="S112" i="2"/>
  <c r="O38" i="2"/>
  <c r="N38" i="2"/>
  <c r="R32" i="2"/>
  <c r="S32" i="2"/>
  <c r="O74" i="2"/>
  <c r="N86" i="2"/>
  <c r="O86" i="2"/>
  <c r="N43" i="2"/>
  <c r="O43" i="2"/>
  <c r="N78" i="2"/>
  <c r="O78" i="2"/>
  <c r="S134" i="2"/>
  <c r="O89" i="2"/>
  <c r="O106" i="2"/>
  <c r="N106" i="2"/>
  <c r="S11" i="2"/>
  <c r="S60" i="2"/>
  <c r="R60" i="2"/>
  <c r="N124" i="2"/>
  <c r="O124" i="2"/>
  <c r="S25" i="2"/>
  <c r="R25" i="2"/>
  <c r="O92" i="2"/>
  <c r="N92" i="2"/>
  <c r="O114" i="2"/>
  <c r="N114" i="2"/>
  <c r="N118" i="2"/>
  <c r="O118" i="2"/>
  <c r="R72" i="2"/>
  <c r="S72" i="2"/>
  <c r="O136" i="2"/>
  <c r="N136" i="2"/>
  <c r="S70" i="2" l="1"/>
  <c r="R70" i="2"/>
  <c r="O75" i="2"/>
  <c r="N75" i="2"/>
  <c r="O119" i="2"/>
  <c r="N119" i="2"/>
  <c r="S88" i="2"/>
  <c r="R88" i="2"/>
  <c r="O59" i="2"/>
  <c r="N59" i="2"/>
  <c r="S100" i="2"/>
  <c r="R100" i="2"/>
  <c r="R55" i="2"/>
  <c r="S55" i="2"/>
  <c r="S87" i="2"/>
  <c r="R87" i="2"/>
  <c r="N104" i="2"/>
  <c r="O104" i="2"/>
  <c r="R133" i="2"/>
  <c r="S133" i="2"/>
  <c r="O7" i="2"/>
  <c r="N7" i="2"/>
  <c r="N14" i="2"/>
  <c r="O14" i="2"/>
  <c r="R113" i="2"/>
  <c r="S113" i="2"/>
  <c r="R84" i="2"/>
  <c r="S84" i="2"/>
  <c r="R23" i="2"/>
  <c r="S23" i="2"/>
  <c r="O122" i="2"/>
  <c r="N122" i="2"/>
  <c r="S29" i="2"/>
  <c r="R29" i="2"/>
  <c r="O31" i="2"/>
  <c r="N31" i="2"/>
  <c r="S93" i="2"/>
  <c r="R93" i="2"/>
  <c r="N22" i="2"/>
  <c r="O22" i="2"/>
  <c r="O90" i="2"/>
  <c r="N90" i="2"/>
  <c r="S9" i="2"/>
  <c r="R9" i="2"/>
  <c r="O88" i="2"/>
  <c r="N88" i="2"/>
  <c r="R75" i="2"/>
  <c r="S75" i="2"/>
  <c r="P53" i="2"/>
  <c r="Q53" i="2" s="1"/>
  <c r="R18" i="2"/>
  <c r="S18" i="2"/>
  <c r="N39" i="2"/>
  <c r="O39" i="2"/>
  <c r="P61" i="2"/>
  <c r="Q61" i="2" s="1"/>
  <c r="P15" i="2"/>
  <c r="Q15" i="2" s="1"/>
  <c r="L113" i="2"/>
  <c r="M113" i="2" s="1"/>
  <c r="P69" i="2"/>
  <c r="Q69" i="2" s="1"/>
  <c r="N23" i="2"/>
  <c r="O23" i="2"/>
  <c r="O108" i="2"/>
  <c r="N108" i="2"/>
  <c r="O29" i="2"/>
  <c r="N29" i="2"/>
  <c r="R95" i="2"/>
  <c r="S95" i="2"/>
  <c r="N93" i="2"/>
  <c r="O93" i="2"/>
  <c r="P22" i="2"/>
  <c r="Q22" i="2" s="1"/>
  <c r="P90" i="2"/>
  <c r="Q90" i="2" s="1"/>
  <c r="O9" i="2"/>
  <c r="N9" i="2"/>
  <c r="S132" i="2"/>
  <c r="R132" i="2"/>
  <c r="S39" i="2"/>
  <c r="R39" i="2"/>
  <c r="R19" i="2"/>
  <c r="S19" i="2"/>
  <c r="N15" i="2"/>
  <c r="O15" i="2"/>
  <c r="O47" i="2"/>
  <c r="N47" i="2"/>
  <c r="O34" i="2"/>
  <c r="N34" i="2"/>
  <c r="R27" i="2"/>
  <c r="S27" i="2"/>
  <c r="N133" i="2"/>
  <c r="O133" i="2"/>
  <c r="R24" i="2"/>
  <c r="S24" i="2"/>
  <c r="R34" i="2"/>
  <c r="S34" i="2"/>
  <c r="O123" i="2"/>
  <c r="O117" i="2"/>
  <c r="N117" i="2"/>
  <c r="R135" i="2"/>
  <c r="S135" i="2"/>
  <c r="P111" i="2"/>
  <c r="Q111" i="2" s="1"/>
  <c r="N125" i="2"/>
  <c r="O125" i="2"/>
  <c r="O79" i="2"/>
  <c r="N79" i="2"/>
  <c r="R85" i="2"/>
  <c r="S85" i="2"/>
  <c r="L87" i="2"/>
  <c r="M87" i="2" s="1"/>
  <c r="L70" i="2"/>
  <c r="M70" i="2" s="1"/>
  <c r="N24" i="2"/>
  <c r="O24" i="2"/>
  <c r="N21" i="2"/>
  <c r="O21" i="2"/>
  <c r="P37" i="2"/>
  <c r="Q37" i="2" s="1"/>
  <c r="L55" i="2"/>
  <c r="M55" i="2" s="1"/>
  <c r="N127" i="2"/>
  <c r="O127" i="2"/>
  <c r="N98" i="2"/>
  <c r="O98" i="2"/>
  <c r="S104" i="2"/>
  <c r="R104" i="2"/>
  <c r="S71" i="2"/>
  <c r="R71" i="2"/>
  <c r="O10" i="2"/>
  <c r="N10" i="2"/>
  <c r="O67" i="2"/>
  <c r="N67" i="2"/>
  <c r="R139" i="2"/>
  <c r="S139" i="2"/>
  <c r="R117" i="2"/>
  <c r="S117" i="2"/>
  <c r="N19" i="2"/>
  <c r="O19" i="2"/>
  <c r="R125" i="2"/>
  <c r="S125" i="2"/>
  <c r="N85" i="2"/>
  <c r="O85" i="2"/>
  <c r="N13" i="2"/>
  <c r="O13" i="2"/>
  <c r="S21" i="2"/>
  <c r="R21" i="2"/>
  <c r="S67" i="2"/>
  <c r="R67" i="2"/>
  <c r="S45" i="2"/>
  <c r="R45" i="2"/>
  <c r="N139" i="2"/>
  <c r="O139" i="2"/>
  <c r="O102" i="2"/>
  <c r="N102" i="2"/>
  <c r="O83" i="2"/>
  <c r="N83" i="2"/>
  <c r="N110" i="2"/>
  <c r="O110" i="2"/>
  <c r="S91" i="2"/>
  <c r="R91" i="2"/>
  <c r="S103" i="2"/>
  <c r="R103" i="2"/>
  <c r="R129" i="2"/>
  <c r="S129" i="2"/>
  <c r="S141" i="2"/>
  <c r="R141" i="2"/>
  <c r="O107" i="2"/>
  <c r="N107" i="2"/>
  <c r="O51" i="2"/>
  <c r="N51" i="2"/>
  <c r="O37" i="2"/>
  <c r="N37" i="2"/>
  <c r="N44" i="2"/>
  <c r="O44" i="2"/>
  <c r="N109" i="2"/>
  <c r="O109" i="2"/>
  <c r="S127" i="2"/>
  <c r="R127" i="2"/>
  <c r="R98" i="2"/>
  <c r="S98" i="2"/>
  <c r="R7" i="2"/>
  <c r="S7" i="2"/>
  <c r="N53" i="2"/>
  <c r="O53" i="2"/>
  <c r="O61" i="2"/>
  <c r="N61" i="2"/>
  <c r="N69" i="2"/>
  <c r="O69" i="2"/>
  <c r="N95" i="2"/>
  <c r="O95" i="2"/>
  <c r="N45" i="2"/>
  <c r="O45" i="2"/>
  <c r="S10" i="2"/>
  <c r="R10" i="2"/>
  <c r="R47" i="2"/>
  <c r="S47" i="2"/>
  <c r="S68" i="2"/>
  <c r="R68" i="2"/>
  <c r="O111" i="2"/>
  <c r="N111" i="2"/>
  <c r="R128" i="2"/>
  <c r="L68" i="2"/>
  <c r="M68" i="2" s="1"/>
  <c r="P102" i="2"/>
  <c r="Q102" i="2" s="1"/>
  <c r="P83" i="2"/>
  <c r="Q83" i="2" s="1"/>
  <c r="L100" i="2"/>
  <c r="M100" i="2" s="1"/>
  <c r="P59" i="2"/>
  <c r="Q59" i="2" s="1"/>
  <c r="P110" i="2"/>
  <c r="Q110" i="2" s="1"/>
  <c r="R143" i="2"/>
  <c r="S143" i="2"/>
  <c r="O91" i="2"/>
  <c r="N91" i="2"/>
  <c r="O103" i="2"/>
  <c r="N103" i="2"/>
  <c r="R80" i="2"/>
  <c r="S80" i="2"/>
  <c r="O129" i="2"/>
  <c r="N129" i="2"/>
  <c r="R40" i="2"/>
  <c r="S40" i="2"/>
  <c r="L141" i="2"/>
  <c r="M141" i="2" s="1"/>
  <c r="P107" i="2"/>
  <c r="Q107" i="2" s="1"/>
  <c r="R51" i="2"/>
  <c r="S51" i="2"/>
  <c r="S101" i="2"/>
  <c r="R101" i="2"/>
  <c r="P119" i="2"/>
  <c r="Q119" i="2" s="1"/>
  <c r="R109" i="2"/>
  <c r="S109" i="2"/>
  <c r="O41" i="2"/>
  <c r="N41" i="2"/>
  <c r="R66" i="2"/>
  <c r="S66" i="2"/>
  <c r="O27" i="2"/>
  <c r="N27" i="2"/>
  <c r="R13" i="2"/>
  <c r="S13" i="2"/>
  <c r="S63" i="2"/>
  <c r="R63" i="2"/>
  <c r="N71" i="2"/>
  <c r="O71" i="2"/>
  <c r="S79" i="2"/>
  <c r="R79" i="2"/>
  <c r="N63" i="2"/>
  <c r="O63" i="2"/>
  <c r="O135" i="2"/>
  <c r="N135" i="2"/>
  <c r="N143" i="2"/>
  <c r="O143" i="2"/>
  <c r="N132" i="2"/>
  <c r="O132" i="2"/>
  <c r="R121" i="2"/>
  <c r="S121" i="2"/>
  <c r="S41" i="2"/>
  <c r="R41" i="2"/>
  <c r="N84" i="2"/>
  <c r="O84" i="2"/>
  <c r="O80" i="2"/>
  <c r="N80" i="2"/>
  <c r="S122" i="2"/>
  <c r="R122" i="2"/>
  <c r="N40" i="2"/>
  <c r="O40" i="2"/>
  <c r="P31" i="2"/>
  <c r="Q31" i="2" s="1"/>
  <c r="S49" i="2"/>
  <c r="R49" i="2"/>
  <c r="N101" i="2"/>
  <c r="O101" i="2"/>
  <c r="O113" i="2" l="1"/>
  <c r="N113" i="2"/>
  <c r="S31" i="2"/>
  <c r="R31" i="2"/>
  <c r="S110" i="2"/>
  <c r="R110" i="2"/>
  <c r="O55" i="2"/>
  <c r="O146" i="2" s="1"/>
  <c r="O148" i="2" s="1"/>
  <c r="N55" i="2"/>
  <c r="N146" i="2" s="1"/>
  <c r="N148" i="2" s="1"/>
  <c r="S15" i="2"/>
  <c r="S146" i="2" s="1"/>
  <c r="R15" i="2"/>
  <c r="N87" i="2"/>
  <c r="O87" i="2"/>
  <c r="R37" i="2"/>
  <c r="S37" i="2"/>
  <c r="R61" i="2"/>
  <c r="S61" i="2"/>
  <c r="N100" i="2"/>
  <c r="O100" i="2"/>
  <c r="S22" i="2"/>
  <c r="R22" i="2"/>
  <c r="N141" i="2"/>
  <c r="O141" i="2"/>
  <c r="S90" i="2"/>
  <c r="R90" i="2"/>
  <c r="S102" i="2"/>
  <c r="R102" i="2"/>
  <c r="N68" i="2"/>
  <c r="O68" i="2"/>
  <c r="S59" i="2"/>
  <c r="R59" i="2"/>
  <c r="R107" i="2"/>
  <c r="S107" i="2"/>
  <c r="R83" i="2"/>
  <c r="S83" i="2"/>
  <c r="S119" i="2"/>
  <c r="R119" i="2"/>
  <c r="O70" i="2"/>
  <c r="N70" i="2"/>
  <c r="S111" i="2"/>
  <c r="R111" i="2"/>
  <c r="S69" i="2"/>
  <c r="R69" i="2"/>
  <c r="S53" i="2"/>
  <c r="R53" i="2"/>
  <c r="R146" i="2" l="1"/>
</calcChain>
</file>

<file path=xl/sharedStrings.xml><?xml version="1.0" encoding="utf-8"?>
<sst xmlns="http://schemas.openxmlformats.org/spreadsheetml/2006/main" count="216" uniqueCount="176">
  <si>
    <t>Bulan</t>
  </si>
  <si>
    <t>Penjualan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</si>
  <si>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</si>
  <si>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</si>
  <si>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</si>
  <si>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</si>
  <si>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</si>
  <si>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</si>
  <si>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</si>
  <si>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</si>
  <si>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</si>
  <si>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</si>
  <si>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</si>
  <si>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</si>
  <si>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</si>
  <si>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</si>
  <si>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</si>
  <si>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</si>
  <si>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</si>
  <si>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</si>
  <si>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</si>
  <si>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</si>
  <si>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</si>
  <si>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</si>
  <si>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</si>
  <si>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</si>
  <si>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</si>
  <si>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</si>
  <si>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</si>
  <si>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</si>
  <si>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</si>
  <si>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</si>
  <si>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</si>
  <si>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</si>
  <si>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</si>
  <si>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</si>
  <si>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</si>
  <si>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</si>
  <si>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</si>
  <si>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</si>
  <si>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</si>
  <si>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</si>
  <si>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</si>
  <si>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</si>
  <si>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</si>
  <si>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</si>
  <si>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</si>
  <si>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</si>
  <si>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</si>
  <si>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</si>
  <si>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</si>
  <si>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</si>
  <si>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</si>
  <si>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</si>
  <si>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</si>
  <si>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</si>
  <si>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</si>
  <si>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</si>
  <si>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</si>
  <si>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</si>
  <si>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</si>
  <si>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</si>
  <si>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</si>
  <si>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</si>
  <si>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</si>
  <si>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</si>
  <si>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</si>
  <si>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</si>
  <si>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</si>
  <si>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</si>
  <si>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</si>
  <si>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</si>
  <si>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</si>
  <si>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</si>
  <si>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</si>
  <si>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</si>
  <si>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</si>
  <si>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</si>
  <si>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</si>
  <si>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</si>
  <si>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</si>
  <si>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</si>
  <si>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</si>
  <si>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</si>
  <si>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</si>
  <si>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</si>
  <si>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</si>
  <si>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</si>
  <si>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</si>
  <si>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</si>
  <si>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</si>
  <si>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</si>
  <si>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</si>
  <si>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</si>
  <si>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</si>
  <si>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</si>
  <si>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</si>
  <si>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</si>
  <si>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</si>
  <si>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</si>
  <si>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</si>
  <si>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</si>
  <si>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</si>
  <si>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</si>
  <si>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</si>
  <si>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</si>
  <si>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</si>
  <si>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</si>
  <si>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</si>
  <si>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</si>
  <si>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</si>
  <si>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</si>
  <si>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</si>
  <si>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</si>
  <si>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</si>
  <si>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</si>
  <si>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</si>
  <si>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</si>
  <si>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</si>
  <si>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</si>
  <si>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</si>
  <si>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</si>
  <si>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</si>
  <si>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</si>
  <si>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</si>
  <si>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</si>
  <si>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</si>
  <si>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</si>
  <si>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</si>
  <si>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</si>
  <si>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</si>
  <si>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</si>
  <si>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</si>
  <si>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</si>
  <si>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</si>
  <si>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</si>
  <si>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</si>
  <si>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</si>
  <si>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</si>
  <si>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</si>
  <si>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</si>
  <si>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</si>
  <si>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</si>
  <si>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</si>
  <si>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</si>
  <si>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</si>
  <si>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</si>
  <si>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</si>
  <si>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</si>
  <si>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</si>
  <si>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</si>
  <si>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TAHUN</t>
  </si>
  <si>
    <t>BULAN</t>
  </si>
  <si>
    <t>CMA</t>
  </si>
  <si>
    <t>X</t>
  </si>
  <si>
    <t>X^2</t>
  </si>
  <si>
    <t>XY</t>
  </si>
  <si>
    <t>CMAT</t>
  </si>
  <si>
    <t>SI</t>
  </si>
  <si>
    <t>CF</t>
  </si>
  <si>
    <t>FT</t>
  </si>
  <si>
    <t>E</t>
  </si>
  <si>
    <t>(error/aktual)</t>
  </si>
  <si>
    <t>E^2</t>
  </si>
  <si>
    <t>MA (4)</t>
  </si>
  <si>
    <t>PENJUALAN (Y)</t>
  </si>
  <si>
    <t>a</t>
  </si>
  <si>
    <t>b</t>
  </si>
  <si>
    <t>JUMLAH</t>
  </si>
  <si>
    <t>Tahun</t>
  </si>
  <si>
    <t xml:space="preserve">Kunjungan </t>
  </si>
  <si>
    <t xml:space="preserve">Jumlah </t>
  </si>
  <si>
    <t>Rasio</t>
  </si>
  <si>
    <t>MSE</t>
  </si>
  <si>
    <t>MAPE</t>
  </si>
  <si>
    <t>FTM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</si>
</sst>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C65EE4E2-2709-4E26-AAB2-92F7744AB2FD}"/>
    <cellStyle name="Normal 3" xfId="42" xr:uid="{324390F4-C2BC-4DCF-BCC6-48A123CE249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DEKOMPOSISI!$A$1</c:f>
              <c:strCache>
                <c:ptCount val="1"/>
                <c:pt idx="0">
                  <c:v>TAHUN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DEKOMPOSISI!$A$2:$A$145</c:f>
              <c:numCache>
                <c:formatCode>General</c:formatCode>
                <c:ptCount val="144"/>
                <c:pt idx="0">
                  <c:v>2011</c:v>
                </c:pt>
                <c:pt idx="12">
                  <c:v>2012</c:v>
                </c:pt>
                <c:pt idx="24">
                  <c:v>2013</c:v>
                </c:pt>
                <c:pt idx="36">
                  <c:v>2014</c:v>
                </c:pt>
                <c:pt idx="48">
                  <c:v>2015</c:v>
                </c:pt>
                <c:pt idx="60">
                  <c:v>2016</c:v>
                </c:pt>
                <c:pt idx="72">
                  <c:v>2017</c:v>
                </c:pt>
                <c:pt idx="84">
                  <c:v>2018</c:v>
                </c:pt>
                <c:pt idx="96">
                  <c:v>2019</c:v>
                </c:pt>
                <c:pt idx="108">
                  <c:v>2020</c:v>
                </c:pt>
                <c:pt idx="120">
                  <c:v>2021</c:v>
                </c:pt>
                <c:pt idx="132">
                  <c:v>2022</c:v>
                </c:pt>
              </c:numCache>
            </c:numRef>
          </c:cat>
          <c:val>
            <c:numRef>
              <c:f>DEKOMPOSISI!$A$2:$A$145</c:f>
              <c:numCache>
                <c:formatCode>General</c:formatCode>
                <c:ptCount val="144"/>
                <c:pt idx="0">
                  <c:v>2011</c:v>
                </c:pt>
                <c:pt idx="12">
                  <c:v>2012</c:v>
                </c:pt>
                <c:pt idx="24">
                  <c:v>2013</c:v>
                </c:pt>
                <c:pt idx="36">
                  <c:v>2014</c:v>
                </c:pt>
                <c:pt idx="48">
                  <c:v>2015</c:v>
                </c:pt>
                <c:pt idx="60">
                  <c:v>2016</c:v>
                </c:pt>
                <c:pt idx="72">
                  <c:v>2017</c:v>
                </c:pt>
                <c:pt idx="84">
                  <c:v>2018</c:v>
                </c:pt>
                <c:pt idx="96">
                  <c:v>2019</c:v>
                </c:pt>
                <c:pt idx="108">
                  <c:v>2020</c:v>
                </c:pt>
                <c:pt idx="120">
                  <c:v>2021</c:v>
                </c:pt>
                <c:pt idx="132">
                  <c:v>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3-455A-A58D-887797437438}"/>
            </c:ext>
          </c:extLst>
        </c:ser>
        <c:ser>
          <c:idx val="1"/>
          <c:order val="1"/>
          <c:tx>
            <c:strRef>
              <c:f>DEKOMPOSISI!$C$1</c:f>
              <c:strCache>
                <c:ptCount val="1"/>
                <c:pt idx="0">
                  <c:v>PENJUALAN (Y)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DEKOMPOSISI!$A$2:$A$145</c:f>
              <c:numCache>
                <c:formatCode>General</c:formatCode>
                <c:ptCount val="144"/>
                <c:pt idx="0">
                  <c:v>2011</c:v>
                </c:pt>
                <c:pt idx="12">
                  <c:v>2012</c:v>
                </c:pt>
                <c:pt idx="24">
                  <c:v>2013</c:v>
                </c:pt>
                <c:pt idx="36">
                  <c:v>2014</c:v>
                </c:pt>
                <c:pt idx="48">
                  <c:v>2015</c:v>
                </c:pt>
                <c:pt idx="60">
                  <c:v>2016</c:v>
                </c:pt>
                <c:pt idx="72">
                  <c:v>2017</c:v>
                </c:pt>
                <c:pt idx="84">
                  <c:v>2018</c:v>
                </c:pt>
                <c:pt idx="96">
                  <c:v>2019</c:v>
                </c:pt>
                <c:pt idx="108">
                  <c:v>2020</c:v>
                </c:pt>
                <c:pt idx="120">
                  <c:v>2021</c:v>
                </c:pt>
                <c:pt idx="132">
                  <c:v>2022</c:v>
                </c:pt>
              </c:numCache>
            </c:numRef>
          </c:cat>
          <c:val>
            <c:numRef>
              <c:f>DEKOMPOSISI!$C$2:$C$145</c:f>
              <c:numCache>
                <c:formatCode>General</c:formatCode>
                <c:ptCount val="144"/>
                <c:pt idx="0">
                  <c:v>27619</c:v>
                </c:pt>
                <c:pt idx="1">
                  <c:v>25532</c:v>
                </c:pt>
                <c:pt idx="2">
                  <c:v>32275</c:v>
                </c:pt>
                <c:pt idx="3">
                  <c:v>21128</c:v>
                </c:pt>
                <c:pt idx="4">
                  <c:v>19554</c:v>
                </c:pt>
                <c:pt idx="5">
                  <c:v>26175</c:v>
                </c:pt>
                <c:pt idx="6">
                  <c:v>30149</c:v>
                </c:pt>
                <c:pt idx="7">
                  <c:v>25207</c:v>
                </c:pt>
                <c:pt idx="8">
                  <c:v>30655</c:v>
                </c:pt>
                <c:pt idx="9">
                  <c:v>31109</c:v>
                </c:pt>
                <c:pt idx="10">
                  <c:v>15195</c:v>
                </c:pt>
                <c:pt idx="11">
                  <c:v>26076</c:v>
                </c:pt>
                <c:pt idx="12">
                  <c:v>29189</c:v>
                </c:pt>
                <c:pt idx="13">
                  <c:v>33558</c:v>
                </c:pt>
                <c:pt idx="14">
                  <c:v>33306</c:v>
                </c:pt>
                <c:pt idx="15">
                  <c:v>34264</c:v>
                </c:pt>
                <c:pt idx="16">
                  <c:v>34737</c:v>
                </c:pt>
                <c:pt idx="17">
                  <c:v>37176</c:v>
                </c:pt>
                <c:pt idx="18">
                  <c:v>36353</c:v>
                </c:pt>
                <c:pt idx="19">
                  <c:v>25848</c:v>
                </c:pt>
                <c:pt idx="20">
                  <c:v>33705</c:v>
                </c:pt>
                <c:pt idx="21">
                  <c:v>35855</c:v>
                </c:pt>
                <c:pt idx="22">
                  <c:v>36996</c:v>
                </c:pt>
                <c:pt idx="23">
                  <c:v>34427</c:v>
                </c:pt>
                <c:pt idx="24">
                  <c:v>35923</c:v>
                </c:pt>
                <c:pt idx="25">
                  <c:v>35318</c:v>
                </c:pt>
                <c:pt idx="26">
                  <c:v>32726</c:v>
                </c:pt>
                <c:pt idx="27">
                  <c:v>39668</c:v>
                </c:pt>
                <c:pt idx="28">
                  <c:v>36282</c:v>
                </c:pt>
                <c:pt idx="29">
                  <c:v>35125</c:v>
                </c:pt>
                <c:pt idx="30">
                  <c:v>39210</c:v>
                </c:pt>
                <c:pt idx="31">
                  <c:v>24899</c:v>
                </c:pt>
                <c:pt idx="32">
                  <c:v>40235</c:v>
                </c:pt>
                <c:pt idx="33">
                  <c:v>39246</c:v>
                </c:pt>
                <c:pt idx="34">
                  <c:v>40781</c:v>
                </c:pt>
                <c:pt idx="35">
                  <c:v>34819</c:v>
                </c:pt>
                <c:pt idx="36">
                  <c:v>35886</c:v>
                </c:pt>
                <c:pt idx="37">
                  <c:v>38631</c:v>
                </c:pt>
                <c:pt idx="38">
                  <c:v>38959</c:v>
                </c:pt>
                <c:pt idx="39">
                  <c:v>39323</c:v>
                </c:pt>
                <c:pt idx="40">
                  <c:v>31440</c:v>
                </c:pt>
                <c:pt idx="41">
                  <c:v>39107</c:v>
                </c:pt>
                <c:pt idx="42">
                  <c:v>28757</c:v>
                </c:pt>
                <c:pt idx="43">
                  <c:v>30273</c:v>
                </c:pt>
                <c:pt idx="44">
                  <c:v>29247</c:v>
                </c:pt>
                <c:pt idx="45">
                  <c:v>31538</c:v>
                </c:pt>
                <c:pt idx="46">
                  <c:v>28835</c:v>
                </c:pt>
                <c:pt idx="47">
                  <c:v>27123</c:v>
                </c:pt>
                <c:pt idx="48">
                  <c:v>27166</c:v>
                </c:pt>
                <c:pt idx="49">
                  <c:v>26743</c:v>
                </c:pt>
                <c:pt idx="50">
                  <c:v>31801</c:v>
                </c:pt>
                <c:pt idx="51">
                  <c:v>30053</c:v>
                </c:pt>
                <c:pt idx="52">
                  <c:v>23223</c:v>
                </c:pt>
                <c:pt idx="53">
                  <c:v>23967</c:v>
                </c:pt>
                <c:pt idx="54">
                  <c:v>13495</c:v>
                </c:pt>
                <c:pt idx="55">
                  <c:v>31991</c:v>
                </c:pt>
                <c:pt idx="56">
                  <c:v>32405</c:v>
                </c:pt>
                <c:pt idx="57">
                  <c:v>29826</c:v>
                </c:pt>
                <c:pt idx="58">
                  <c:v>29607</c:v>
                </c:pt>
                <c:pt idx="59">
                  <c:v>21541</c:v>
                </c:pt>
                <c:pt idx="60">
                  <c:v>24859</c:v>
                </c:pt>
                <c:pt idx="61">
                  <c:v>25447</c:v>
                </c:pt>
                <c:pt idx="62">
                  <c:v>29995</c:v>
                </c:pt>
                <c:pt idx="63">
                  <c:v>31059</c:v>
                </c:pt>
                <c:pt idx="64">
                  <c:v>31662</c:v>
                </c:pt>
                <c:pt idx="65">
                  <c:v>31519</c:v>
                </c:pt>
                <c:pt idx="66">
                  <c:v>24718</c:v>
                </c:pt>
                <c:pt idx="67">
                  <c:v>38803</c:v>
                </c:pt>
                <c:pt idx="68">
                  <c:v>36994</c:v>
                </c:pt>
                <c:pt idx="69">
                  <c:v>34116</c:v>
                </c:pt>
                <c:pt idx="70">
                  <c:v>40510</c:v>
                </c:pt>
                <c:pt idx="71">
                  <c:v>31888</c:v>
                </c:pt>
                <c:pt idx="72">
                  <c:v>32377</c:v>
                </c:pt>
                <c:pt idx="73">
                  <c:v>36147</c:v>
                </c:pt>
                <c:pt idx="74">
                  <c:v>38656</c:v>
                </c:pt>
                <c:pt idx="75">
                  <c:v>33328</c:v>
                </c:pt>
                <c:pt idx="76">
                  <c:v>32806</c:v>
                </c:pt>
                <c:pt idx="77">
                  <c:v>21974</c:v>
                </c:pt>
                <c:pt idx="78">
                  <c:v>31621</c:v>
                </c:pt>
                <c:pt idx="79">
                  <c:v>34690</c:v>
                </c:pt>
                <c:pt idx="80">
                  <c:v>27251</c:v>
                </c:pt>
                <c:pt idx="81">
                  <c:v>29979</c:v>
                </c:pt>
                <c:pt idx="82">
                  <c:v>28797</c:v>
                </c:pt>
                <c:pt idx="83">
                  <c:v>23706</c:v>
                </c:pt>
                <c:pt idx="84">
                  <c:v>25405</c:v>
                </c:pt>
                <c:pt idx="85">
                  <c:v>27665</c:v>
                </c:pt>
                <c:pt idx="86">
                  <c:v>31424</c:v>
                </c:pt>
                <c:pt idx="87">
                  <c:v>29360</c:v>
                </c:pt>
                <c:pt idx="88">
                  <c:v>28950</c:v>
                </c:pt>
                <c:pt idx="89">
                  <c:v>18642</c:v>
                </c:pt>
                <c:pt idx="90">
                  <c:v>34984</c:v>
                </c:pt>
                <c:pt idx="91">
                  <c:v>31149</c:v>
                </c:pt>
                <c:pt idx="92">
                  <c:v>29821</c:v>
                </c:pt>
                <c:pt idx="93">
                  <c:v>36119</c:v>
                </c:pt>
                <c:pt idx="94">
                  <c:v>31981</c:v>
                </c:pt>
                <c:pt idx="95">
                  <c:v>26661</c:v>
                </c:pt>
                <c:pt idx="96">
                  <c:v>25081</c:v>
                </c:pt>
                <c:pt idx="97">
                  <c:v>23443</c:v>
                </c:pt>
                <c:pt idx="98">
                  <c:v>28732</c:v>
                </c:pt>
                <c:pt idx="99">
                  <c:v>29408</c:v>
                </c:pt>
                <c:pt idx="100">
                  <c:v>29103</c:v>
                </c:pt>
                <c:pt idx="101">
                  <c:v>18541</c:v>
                </c:pt>
                <c:pt idx="102">
                  <c:v>29362</c:v>
                </c:pt>
                <c:pt idx="103">
                  <c:v>28929</c:v>
                </c:pt>
                <c:pt idx="104">
                  <c:v>31831</c:v>
                </c:pt>
                <c:pt idx="105">
                  <c:v>30944</c:v>
                </c:pt>
                <c:pt idx="106">
                  <c:v>28970</c:v>
                </c:pt>
                <c:pt idx="107">
                  <c:v>27453</c:v>
                </c:pt>
                <c:pt idx="108">
                  <c:v>24119</c:v>
                </c:pt>
                <c:pt idx="109">
                  <c:v>25053</c:v>
                </c:pt>
                <c:pt idx="110">
                  <c:v>26191</c:v>
                </c:pt>
                <c:pt idx="111">
                  <c:v>2053</c:v>
                </c:pt>
                <c:pt idx="112">
                  <c:v>695</c:v>
                </c:pt>
                <c:pt idx="113">
                  <c:v>3705</c:v>
                </c:pt>
                <c:pt idx="114">
                  <c:v>7224</c:v>
                </c:pt>
                <c:pt idx="115">
                  <c:v>8673</c:v>
                </c:pt>
                <c:pt idx="116">
                  <c:v>13150</c:v>
                </c:pt>
                <c:pt idx="117">
                  <c:v>16345</c:v>
                </c:pt>
                <c:pt idx="118">
                  <c:v>15361</c:v>
                </c:pt>
                <c:pt idx="119">
                  <c:v>18687</c:v>
                </c:pt>
                <c:pt idx="120">
                  <c:v>16033</c:v>
                </c:pt>
                <c:pt idx="121">
                  <c:v>15144</c:v>
                </c:pt>
                <c:pt idx="122">
                  <c:v>26258</c:v>
                </c:pt>
                <c:pt idx="123">
                  <c:v>23301</c:v>
                </c:pt>
                <c:pt idx="124">
                  <c:v>18167</c:v>
                </c:pt>
                <c:pt idx="125">
                  <c:v>23271</c:v>
                </c:pt>
                <c:pt idx="126">
                  <c:v>21763</c:v>
                </c:pt>
                <c:pt idx="127">
                  <c:v>29898</c:v>
                </c:pt>
                <c:pt idx="128">
                  <c:v>34046</c:v>
                </c:pt>
                <c:pt idx="129">
                  <c:v>21730</c:v>
                </c:pt>
                <c:pt idx="130">
                  <c:v>33450</c:v>
                </c:pt>
                <c:pt idx="131">
                  <c:v>32707</c:v>
                </c:pt>
                <c:pt idx="132">
                  <c:v>22886</c:v>
                </c:pt>
                <c:pt idx="133">
                  <c:v>24865</c:v>
                </c:pt>
                <c:pt idx="134">
                  <c:v>33344</c:v>
                </c:pt>
                <c:pt idx="135">
                  <c:v>27779</c:v>
                </c:pt>
                <c:pt idx="136">
                  <c:v>13297</c:v>
                </c:pt>
                <c:pt idx="137">
                  <c:v>27290</c:v>
                </c:pt>
                <c:pt idx="138">
                  <c:v>29326</c:v>
                </c:pt>
                <c:pt idx="139">
                  <c:v>30844</c:v>
                </c:pt>
                <c:pt idx="140">
                  <c:v>33449</c:v>
                </c:pt>
                <c:pt idx="141">
                  <c:v>33740</c:v>
                </c:pt>
                <c:pt idx="142">
                  <c:v>26462</c:v>
                </c:pt>
                <c:pt idx="143">
                  <c:v>28128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03-455A-A58D-887797437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143615"/>
        <c:axId val="1250142655"/>
      </c:lineChart>
      <c:catAx>
        <c:axId val="125014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42655"/>
        <c:crosses val="autoZero"/>
        <c:auto val="1"/>
        <c:lblAlgn val="ctr"/>
        <c:lblOffset val="100"/>
        <c:noMultiLvlLbl val="0"/>
      </c:catAx>
      <c:valAx>
        <c:axId val="12501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4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339953</xdr:colOff>
      <xdr:row>0</xdr:row>
      <xdr:rowOff>33924</xdr:rowOff>
    </xdr:from>
    <xdr:to>
      <xdr:col>33</xdr:col>
      <xdr:colOff>227625</xdr:colOff>
      <xdr:row>22</xdr:row>
      <xdr:rowOff>103557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805096-D5E1-D725-47B8-45329EEBC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21C-FFD6-4860-BC9E-C82FD1E95B71}">
  <dimension ref="A1:B150"/>
  <sheetViews>
    <sheetView topLeftCell="A137" workbookViewId="0">
      <selection activeCell="L146" sqref="L14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27619</v>
      </c>
    </row>
    <row r="3" spans="1:2" x14ac:dyDescent="0.35">
      <c r="A3" t="s">
        <v>3</v>
      </c>
      <c r="B3">
        <v>25532</v>
      </c>
    </row>
    <row r="4" spans="1:2" x14ac:dyDescent="0.35">
      <c r="A4" t="s">
        <v>4</v>
      </c>
      <c r="B4">
        <v>32275</v>
      </c>
    </row>
    <row r="5" spans="1:2" x14ac:dyDescent="0.35">
      <c r="A5" t="s">
        <v>5</v>
      </c>
      <c r="B5">
        <v>21128</v>
      </c>
    </row>
    <row r="6" spans="1:2" x14ac:dyDescent="0.35">
      <c r="A6" t="s">
        <v>6</v>
      </c>
      <c r="B6">
        <v>19554</v>
      </c>
    </row>
    <row r="7" spans="1:2" x14ac:dyDescent="0.35">
      <c r="A7" t="s">
        <v>7</v>
      </c>
      <c r="B7">
        <v>26175</v>
      </c>
    </row>
    <row r="8" spans="1:2" x14ac:dyDescent="0.35">
      <c r="A8" t="s">
        <v>8</v>
      </c>
      <c r="B8">
        <v>30149</v>
      </c>
    </row>
    <row r="9" spans="1:2" x14ac:dyDescent="0.35">
      <c r="A9" t="s">
        <v>9</v>
      </c>
      <c r="B9">
        <v>25207</v>
      </c>
    </row>
    <row r="10" spans="1:2" x14ac:dyDescent="0.35">
      <c r="A10" t="s">
        <v>10</v>
      </c>
      <c r="B10">
        <v>30655</v>
      </c>
    </row>
    <row r="11" spans="1:2" x14ac:dyDescent="0.35">
      <c r="A11" t="s">
        <v>11</v>
      </c>
      <c r="B11">
        <v>31109</v>
      </c>
    </row>
    <row r="12" spans="1:2" x14ac:dyDescent="0.35">
      <c r="A12" t="s">
        <v>12</v>
      </c>
      <c r="B12">
        <v>15195</v>
      </c>
    </row>
    <row r="13" spans="1:2" x14ac:dyDescent="0.35">
      <c r="A13" t="s">
        <v>13</v>
      </c>
      <c r="B13">
        <v>26076</v>
      </c>
    </row>
    <row r="14" spans="1:2" x14ac:dyDescent="0.35">
      <c r="A14" t="s">
        <v>14</v>
      </c>
      <c r="B14">
        <v>29189</v>
      </c>
    </row>
    <row r="15" spans="1:2" x14ac:dyDescent="0.35">
      <c r="A15" t="s">
        <v>15</v>
      </c>
      <c r="B15">
        <v>33558</v>
      </c>
    </row>
    <row r="16" spans="1:2" x14ac:dyDescent="0.35">
      <c r="A16" t="s">
        <v>16</v>
      </c>
      <c r="B16">
        <v>33306</v>
      </c>
    </row>
    <row r="17" spans="1:2" x14ac:dyDescent="0.35">
      <c r="A17" t="s">
        <v>17</v>
      </c>
      <c r="B17">
        <v>34264</v>
      </c>
    </row>
    <row r="18" spans="1:2" x14ac:dyDescent="0.35">
      <c r="A18" t="s">
        <v>18</v>
      </c>
      <c r="B18">
        <v>34737</v>
      </c>
    </row>
    <row r="19" spans="1:2" x14ac:dyDescent="0.35">
      <c r="A19" t="s">
        <v>19</v>
      </c>
      <c r="B19">
        <v>37176</v>
      </c>
    </row>
    <row r="20" spans="1:2" x14ac:dyDescent="0.35">
      <c r="A20" t="s">
        <v>20</v>
      </c>
      <c r="B20">
        <v>36353</v>
      </c>
    </row>
    <row r="21" spans="1:2" x14ac:dyDescent="0.35">
      <c r="A21" t="s">
        <v>21</v>
      </c>
      <c r="B21">
        <v>25848</v>
      </c>
    </row>
    <row r="22" spans="1:2" x14ac:dyDescent="0.35">
      <c r="A22" t="s">
        <v>22</v>
      </c>
      <c r="B22">
        <v>33705</v>
      </c>
    </row>
    <row r="23" spans="1:2" x14ac:dyDescent="0.35">
      <c r="A23" t="s">
        <v>23</v>
      </c>
      <c r="B23">
        <v>35855</v>
      </c>
    </row>
    <row r="24" spans="1:2" x14ac:dyDescent="0.35">
      <c r="A24" t="s">
        <v>24</v>
      </c>
      <c r="B24">
        <v>36996</v>
      </c>
    </row>
    <row r="25" spans="1:2" x14ac:dyDescent="0.35">
      <c r="A25" t="s">
        <v>25</v>
      </c>
      <c r="B25">
        <v>34427</v>
      </c>
    </row>
    <row r="26" spans="1:2" x14ac:dyDescent="0.35">
      <c r="A26" t="s">
        <v>26</v>
      </c>
      <c r="B26">
        <v>35923</v>
      </c>
    </row>
    <row r="27" spans="1:2" x14ac:dyDescent="0.35">
      <c r="A27" t="s">
        <v>27</v>
      </c>
      <c r="B27">
        <v>35318</v>
      </c>
    </row>
    <row r="28" spans="1:2" x14ac:dyDescent="0.35">
      <c r="A28" t="s">
        <v>28</v>
      </c>
      <c r="B28">
        <v>32726</v>
      </c>
    </row>
    <row r="29" spans="1:2" x14ac:dyDescent="0.35">
      <c r="A29" t="s">
        <v>29</v>
      </c>
      <c r="B29">
        <v>39668</v>
      </c>
    </row>
    <row r="30" spans="1:2" x14ac:dyDescent="0.35">
      <c r="A30" t="s">
        <v>30</v>
      </c>
      <c r="B30">
        <v>36282</v>
      </c>
    </row>
    <row r="31" spans="1:2" x14ac:dyDescent="0.35">
      <c r="A31" t="s">
        <v>31</v>
      </c>
      <c r="B31">
        <v>35125</v>
      </c>
    </row>
    <row r="32" spans="1:2" x14ac:dyDescent="0.35">
      <c r="A32" t="s">
        <v>32</v>
      </c>
      <c r="B32">
        <v>39210</v>
      </c>
    </row>
    <row r="33" spans="1:2" x14ac:dyDescent="0.35">
      <c r="A33" t="s">
        <v>33</v>
      </c>
      <c r="B33">
        <v>24899</v>
      </c>
    </row>
    <row r="34" spans="1:2" x14ac:dyDescent="0.35">
      <c r="A34" t="s">
        <v>34</v>
      </c>
      <c r="B34">
        <v>40235</v>
      </c>
    </row>
    <row r="35" spans="1:2" x14ac:dyDescent="0.35">
      <c r="A35" t="s">
        <v>35</v>
      </c>
      <c r="B35">
        <v>39246</v>
      </c>
    </row>
    <row r="36" spans="1:2" x14ac:dyDescent="0.35">
      <c r="A36" t="s">
        <v>36</v>
      </c>
      <c r="B36">
        <v>40781</v>
      </c>
    </row>
    <row r="37" spans="1:2" x14ac:dyDescent="0.35">
      <c r="A37" t="s">
        <v>37</v>
      </c>
      <c r="B37">
        <v>34819</v>
      </c>
    </row>
    <row r="38" spans="1:2" x14ac:dyDescent="0.35">
      <c r="A38" t="s">
        <v>38</v>
      </c>
      <c r="B38">
        <v>35886</v>
      </c>
    </row>
    <row r="39" spans="1:2" x14ac:dyDescent="0.35">
      <c r="A39" t="s">
        <v>39</v>
      </c>
      <c r="B39">
        <v>38631</v>
      </c>
    </row>
    <row r="40" spans="1:2" x14ac:dyDescent="0.35">
      <c r="A40" t="s">
        <v>40</v>
      </c>
      <c r="B40">
        <v>38959</v>
      </c>
    </row>
    <row r="41" spans="1:2" x14ac:dyDescent="0.35">
      <c r="A41" t="s">
        <v>41</v>
      </c>
      <c r="B41">
        <v>39323</v>
      </c>
    </row>
    <row r="42" spans="1:2" x14ac:dyDescent="0.35">
      <c r="A42" t="s">
        <v>42</v>
      </c>
      <c r="B42">
        <v>31440</v>
      </c>
    </row>
    <row r="43" spans="1:2" x14ac:dyDescent="0.35">
      <c r="A43" t="s">
        <v>43</v>
      </c>
      <c r="B43">
        <v>39107</v>
      </c>
    </row>
    <row r="44" spans="1:2" x14ac:dyDescent="0.35">
      <c r="A44" t="s">
        <v>44</v>
      </c>
      <c r="B44">
        <v>28757</v>
      </c>
    </row>
    <row r="45" spans="1:2" x14ac:dyDescent="0.35">
      <c r="A45" t="s">
        <v>45</v>
      </c>
      <c r="B45">
        <v>30273</v>
      </c>
    </row>
    <row r="46" spans="1:2" x14ac:dyDescent="0.35">
      <c r="A46" t="s">
        <v>46</v>
      </c>
      <c r="B46">
        <v>29247</v>
      </c>
    </row>
    <row r="47" spans="1:2" x14ac:dyDescent="0.35">
      <c r="A47" t="s">
        <v>47</v>
      </c>
      <c r="B47">
        <v>31538</v>
      </c>
    </row>
    <row r="48" spans="1:2" x14ac:dyDescent="0.35">
      <c r="A48" t="s">
        <v>48</v>
      </c>
      <c r="B48">
        <v>28835</v>
      </c>
    </row>
    <row r="49" spans="1:2" x14ac:dyDescent="0.35">
      <c r="A49" t="s">
        <v>49</v>
      </c>
      <c r="B49">
        <v>27123</v>
      </c>
    </row>
    <row r="50" spans="1:2" x14ac:dyDescent="0.35">
      <c r="A50" t="s">
        <v>50</v>
      </c>
      <c r="B50">
        <v>27166</v>
      </c>
    </row>
    <row r="51" spans="1:2" x14ac:dyDescent="0.35">
      <c r="A51" t="s">
        <v>51</v>
      </c>
      <c r="B51">
        <v>26743</v>
      </c>
    </row>
    <row r="52" spans="1:2" x14ac:dyDescent="0.35">
      <c r="A52" t="s">
        <v>52</v>
      </c>
      <c r="B52">
        <v>31801</v>
      </c>
    </row>
    <row r="53" spans="1:2" x14ac:dyDescent="0.35">
      <c r="A53" t="s">
        <v>53</v>
      </c>
      <c r="B53">
        <v>30053</v>
      </c>
    </row>
    <row r="54" spans="1:2" x14ac:dyDescent="0.35">
      <c r="A54" t="s">
        <v>54</v>
      </c>
      <c r="B54">
        <v>23223</v>
      </c>
    </row>
    <row r="55" spans="1:2" x14ac:dyDescent="0.35">
      <c r="A55" t="s">
        <v>55</v>
      </c>
      <c r="B55">
        <v>23967</v>
      </c>
    </row>
    <row r="56" spans="1:2" x14ac:dyDescent="0.35">
      <c r="A56" t="s">
        <v>56</v>
      </c>
      <c r="B56">
        <v>13495</v>
      </c>
    </row>
    <row r="57" spans="1:2" x14ac:dyDescent="0.35">
      <c r="A57" t="s">
        <v>57</v>
      </c>
      <c r="B57">
        <v>31991</v>
      </c>
    </row>
    <row r="58" spans="1:2" x14ac:dyDescent="0.35">
      <c r="A58" t="s">
        <v>58</v>
      </c>
      <c r="B58">
        <v>32405</v>
      </c>
    </row>
    <row r="59" spans="1:2" x14ac:dyDescent="0.35">
      <c r="A59" t="s">
        <v>59</v>
      </c>
      <c r="B59">
        <v>29826</v>
      </c>
    </row>
    <row r="60" spans="1:2" x14ac:dyDescent="0.35">
      <c r="A60" t="s">
        <v>60</v>
      </c>
      <c r="B60">
        <v>29607</v>
      </c>
    </row>
    <row r="61" spans="1:2" x14ac:dyDescent="0.35">
      <c r="A61" t="s">
        <v>61</v>
      </c>
      <c r="B61">
        <v>21541</v>
      </c>
    </row>
    <row r="62" spans="1:2" x14ac:dyDescent="0.35">
      <c r="A62" t="s">
        <v>62</v>
      </c>
      <c r="B62">
        <v>24859</v>
      </c>
    </row>
    <row r="63" spans="1:2" x14ac:dyDescent="0.35">
      <c r="A63" t="s">
        <v>63</v>
      </c>
      <c r="B63">
        <v>25447</v>
      </c>
    </row>
    <row r="64" spans="1:2" x14ac:dyDescent="0.35">
      <c r="A64" t="s">
        <v>64</v>
      </c>
      <c r="B64">
        <v>29995</v>
      </c>
    </row>
    <row r="65" spans="1:2" x14ac:dyDescent="0.35">
      <c r="A65" t="s">
        <v>65</v>
      </c>
      <c r="B65">
        <v>31059</v>
      </c>
    </row>
    <row r="66" spans="1:2" x14ac:dyDescent="0.35">
      <c r="A66" t="s">
        <v>66</v>
      </c>
      <c r="B66">
        <v>31662</v>
      </c>
    </row>
    <row r="67" spans="1:2" x14ac:dyDescent="0.35">
      <c r="A67" t="s">
        <v>67</v>
      </c>
      <c r="B67">
        <v>31519</v>
      </c>
    </row>
    <row r="68" spans="1:2" x14ac:dyDescent="0.35">
      <c r="A68" t="s">
        <v>68</v>
      </c>
      <c r="B68">
        <v>24718</v>
      </c>
    </row>
    <row r="69" spans="1:2" x14ac:dyDescent="0.35">
      <c r="A69" t="s">
        <v>69</v>
      </c>
      <c r="B69">
        <v>38803</v>
      </c>
    </row>
    <row r="70" spans="1:2" x14ac:dyDescent="0.35">
      <c r="A70" t="s">
        <v>70</v>
      </c>
      <c r="B70">
        <v>36994</v>
      </c>
    </row>
    <row r="71" spans="1:2" x14ac:dyDescent="0.35">
      <c r="A71" t="s">
        <v>71</v>
      </c>
      <c r="B71">
        <v>34116</v>
      </c>
    </row>
    <row r="72" spans="1:2" x14ac:dyDescent="0.35">
      <c r="A72" t="s">
        <v>72</v>
      </c>
      <c r="B72">
        <v>40510</v>
      </c>
    </row>
    <row r="73" spans="1:2" x14ac:dyDescent="0.35">
      <c r="A73" t="s">
        <v>73</v>
      </c>
      <c r="B73">
        <v>31888</v>
      </c>
    </row>
    <row r="74" spans="1:2" x14ac:dyDescent="0.35">
      <c r="A74" t="s">
        <v>74</v>
      </c>
      <c r="B74">
        <v>32377</v>
      </c>
    </row>
    <row r="75" spans="1:2" x14ac:dyDescent="0.35">
      <c r="A75" t="s">
        <v>75</v>
      </c>
      <c r="B75">
        <v>36147</v>
      </c>
    </row>
    <row r="76" spans="1:2" x14ac:dyDescent="0.35">
      <c r="A76" t="s">
        <v>76</v>
      </c>
      <c r="B76">
        <v>38656</v>
      </c>
    </row>
    <row r="77" spans="1:2" x14ac:dyDescent="0.35">
      <c r="A77" t="s">
        <v>77</v>
      </c>
      <c r="B77">
        <v>33328</v>
      </c>
    </row>
    <row r="78" spans="1:2" x14ac:dyDescent="0.35">
      <c r="A78" t="s">
        <v>78</v>
      </c>
      <c r="B78">
        <v>32806</v>
      </c>
    </row>
    <row r="79" spans="1:2" x14ac:dyDescent="0.35">
      <c r="A79" t="s">
        <v>79</v>
      </c>
      <c r="B79">
        <v>21974</v>
      </c>
    </row>
    <row r="80" spans="1:2" x14ac:dyDescent="0.35">
      <c r="A80" t="s">
        <v>80</v>
      </c>
      <c r="B80">
        <v>31621</v>
      </c>
    </row>
    <row r="81" spans="1:2" x14ac:dyDescent="0.35">
      <c r="A81" t="s">
        <v>81</v>
      </c>
      <c r="B81">
        <v>34690</v>
      </c>
    </row>
    <row r="82" spans="1:2" x14ac:dyDescent="0.35">
      <c r="A82" t="s">
        <v>82</v>
      </c>
      <c r="B82">
        <v>27251</v>
      </c>
    </row>
    <row r="83" spans="1:2" x14ac:dyDescent="0.35">
      <c r="A83" t="s">
        <v>83</v>
      </c>
      <c r="B83">
        <v>29979</v>
      </c>
    </row>
    <row r="84" spans="1:2" x14ac:dyDescent="0.35">
      <c r="A84" t="s">
        <v>84</v>
      </c>
      <c r="B84">
        <v>28797</v>
      </c>
    </row>
    <row r="85" spans="1:2" x14ac:dyDescent="0.35">
      <c r="A85" t="s">
        <v>85</v>
      </c>
      <c r="B85">
        <v>23706</v>
      </c>
    </row>
    <row r="86" spans="1:2" x14ac:dyDescent="0.35">
      <c r="A86" t="s">
        <v>86</v>
      </c>
      <c r="B86">
        <v>25405</v>
      </c>
    </row>
    <row r="87" spans="1:2" x14ac:dyDescent="0.35">
      <c r="A87" t="s">
        <v>87</v>
      </c>
      <c r="B87">
        <v>27665</v>
      </c>
    </row>
    <row r="88" spans="1:2" x14ac:dyDescent="0.35">
      <c r="A88" t="s">
        <v>88</v>
      </c>
      <c r="B88">
        <v>31424</v>
      </c>
    </row>
    <row r="89" spans="1:2" x14ac:dyDescent="0.35">
      <c r="A89" t="s">
        <v>89</v>
      </c>
      <c r="B89">
        <v>29360</v>
      </c>
    </row>
    <row r="90" spans="1:2" x14ac:dyDescent="0.35">
      <c r="A90" t="s">
        <v>90</v>
      </c>
      <c r="B90">
        <v>28950</v>
      </c>
    </row>
    <row r="91" spans="1:2" x14ac:dyDescent="0.35">
      <c r="A91" t="s">
        <v>91</v>
      </c>
      <c r="B91">
        <v>18642</v>
      </c>
    </row>
    <row r="92" spans="1:2" x14ac:dyDescent="0.35">
      <c r="A92" t="s">
        <v>92</v>
      </c>
      <c r="B92">
        <v>34984</v>
      </c>
    </row>
    <row r="93" spans="1:2" x14ac:dyDescent="0.35">
      <c r="A93" t="s">
        <v>93</v>
      </c>
      <c r="B93">
        <v>31149</v>
      </c>
    </row>
    <row r="94" spans="1:2" x14ac:dyDescent="0.35">
      <c r="A94" t="s">
        <v>94</v>
      </c>
      <c r="B94">
        <v>29821</v>
      </c>
    </row>
    <row r="95" spans="1:2" x14ac:dyDescent="0.35">
      <c r="A95" t="s">
        <v>95</v>
      </c>
      <c r="B95">
        <v>36119</v>
      </c>
    </row>
    <row r="96" spans="1:2" x14ac:dyDescent="0.35">
      <c r="A96" t="s">
        <v>96</v>
      </c>
      <c r="B96">
        <v>31981</v>
      </c>
    </row>
    <row r="97" spans="1:2" x14ac:dyDescent="0.35">
      <c r="A97" t="s">
        <v>97</v>
      </c>
      <c r="B97">
        <v>26661</v>
      </c>
    </row>
    <row r="98" spans="1:2" x14ac:dyDescent="0.35">
      <c r="A98" t="s">
        <v>98</v>
      </c>
      <c r="B98">
        <v>25081</v>
      </c>
    </row>
    <row r="99" spans="1:2" x14ac:dyDescent="0.35">
      <c r="A99" t="s">
        <v>99</v>
      </c>
      <c r="B99">
        <v>23443</v>
      </c>
    </row>
    <row r="100" spans="1:2" x14ac:dyDescent="0.35">
      <c r="A100" t="s">
        <v>100</v>
      </c>
      <c r="B100">
        <v>28732</v>
      </c>
    </row>
    <row r="101" spans="1:2" x14ac:dyDescent="0.35">
      <c r="A101" t="s">
        <v>101</v>
      </c>
      <c r="B101">
        <v>29408</v>
      </c>
    </row>
    <row r="102" spans="1:2" x14ac:dyDescent="0.35">
      <c r="A102" t="s">
        <v>102</v>
      </c>
      <c r="B102">
        <v>29103</v>
      </c>
    </row>
    <row r="103" spans="1:2" x14ac:dyDescent="0.35">
      <c r="A103" t="s">
        <v>103</v>
      </c>
      <c r="B103">
        <v>18541</v>
      </c>
    </row>
    <row r="104" spans="1:2" x14ac:dyDescent="0.35">
      <c r="A104" t="s">
        <v>104</v>
      </c>
      <c r="B104">
        <v>29362</v>
      </c>
    </row>
    <row r="105" spans="1:2" x14ac:dyDescent="0.35">
      <c r="A105" t="s">
        <v>105</v>
      </c>
      <c r="B105">
        <v>28929</v>
      </c>
    </row>
    <row r="106" spans="1:2" x14ac:dyDescent="0.35">
      <c r="A106" t="s">
        <v>106</v>
      </c>
      <c r="B106">
        <v>31831</v>
      </c>
    </row>
    <row r="107" spans="1:2" x14ac:dyDescent="0.35">
      <c r="A107" t="s">
        <v>107</v>
      </c>
      <c r="B107">
        <v>30944</v>
      </c>
    </row>
    <row r="108" spans="1:2" x14ac:dyDescent="0.35">
      <c r="A108" t="s">
        <v>108</v>
      </c>
      <c r="B108">
        <v>28970</v>
      </c>
    </row>
    <row r="109" spans="1:2" x14ac:dyDescent="0.35">
      <c r="A109" t="s">
        <v>109</v>
      </c>
      <c r="B109">
        <v>27453</v>
      </c>
    </row>
    <row r="110" spans="1:2" x14ac:dyDescent="0.35">
      <c r="A110" t="s">
        <v>110</v>
      </c>
      <c r="B110">
        <v>24119</v>
      </c>
    </row>
    <row r="111" spans="1:2" x14ac:dyDescent="0.35">
      <c r="A111" t="s">
        <v>111</v>
      </c>
      <c r="B111">
        <v>25053</v>
      </c>
    </row>
    <row r="112" spans="1:2" x14ac:dyDescent="0.35">
      <c r="A112" t="s">
        <v>112</v>
      </c>
      <c r="B112">
        <v>26191</v>
      </c>
    </row>
    <row r="113" spans="1:2" x14ac:dyDescent="0.35">
      <c r="A113" t="s">
        <v>113</v>
      </c>
      <c r="B113">
        <v>2053</v>
      </c>
    </row>
    <row r="114" spans="1:2" x14ac:dyDescent="0.35">
      <c r="A114" t="s">
        <v>114</v>
      </c>
      <c r="B114">
        <v>695</v>
      </c>
    </row>
    <row r="115" spans="1:2" x14ac:dyDescent="0.35">
      <c r="A115" t="s">
        <v>115</v>
      </c>
      <c r="B115">
        <v>3705</v>
      </c>
    </row>
    <row r="116" spans="1:2" x14ac:dyDescent="0.35">
      <c r="A116" t="s">
        <v>116</v>
      </c>
      <c r="B116">
        <v>7224</v>
      </c>
    </row>
    <row r="117" spans="1:2" x14ac:dyDescent="0.35">
      <c r="A117" t="s">
        <v>117</v>
      </c>
      <c r="B117">
        <v>8673</v>
      </c>
    </row>
    <row r="118" spans="1:2" x14ac:dyDescent="0.35">
      <c r="A118" t="s">
        <v>118</v>
      </c>
      <c r="B118">
        <v>13150</v>
      </c>
    </row>
    <row r="119" spans="1:2" x14ac:dyDescent="0.35">
      <c r="A119" t="s">
        <v>119</v>
      </c>
      <c r="B119">
        <v>16345</v>
      </c>
    </row>
    <row r="120" spans="1:2" x14ac:dyDescent="0.35">
      <c r="A120" t="s">
        <v>120</v>
      </c>
      <c r="B120">
        <v>15361</v>
      </c>
    </row>
    <row r="121" spans="1:2" x14ac:dyDescent="0.35">
      <c r="A121" t="s">
        <v>121</v>
      </c>
      <c r="B121">
        <v>18687</v>
      </c>
    </row>
    <row r="122" spans="1:2" x14ac:dyDescent="0.35">
      <c r="A122" t="s">
        <v>122</v>
      </c>
      <c r="B122">
        <v>16033</v>
      </c>
    </row>
    <row r="123" spans="1:2" x14ac:dyDescent="0.35">
      <c r="A123" t="s">
        <v>123</v>
      </c>
      <c r="B123">
        <v>15144</v>
      </c>
    </row>
    <row r="124" spans="1:2" x14ac:dyDescent="0.35">
      <c r="A124" t="s">
        <v>124</v>
      </c>
      <c r="B124">
        <v>26258</v>
      </c>
    </row>
    <row r="125" spans="1:2" x14ac:dyDescent="0.35">
      <c r="A125" t="s">
        <v>125</v>
      </c>
      <c r="B125">
        <v>23301</v>
      </c>
    </row>
    <row r="126" spans="1:2" x14ac:dyDescent="0.35">
      <c r="A126" t="s">
        <v>126</v>
      </c>
      <c r="B126">
        <v>18167</v>
      </c>
    </row>
    <row r="127" spans="1:2" x14ac:dyDescent="0.35">
      <c r="A127" t="s">
        <v>127</v>
      </c>
      <c r="B127">
        <v>23271</v>
      </c>
    </row>
    <row r="128" spans="1:2" x14ac:dyDescent="0.35">
      <c r="A128" t="s">
        <v>128</v>
      </c>
      <c r="B128">
        <v>21763</v>
      </c>
    </row>
    <row r="129" spans="1:2" x14ac:dyDescent="0.35">
      <c r="A129" t="s">
        <v>129</v>
      </c>
      <c r="B129">
        <v>29898</v>
      </c>
    </row>
    <row r="130" spans="1:2" x14ac:dyDescent="0.35">
      <c r="A130" t="s">
        <v>130</v>
      </c>
      <c r="B130">
        <v>34046</v>
      </c>
    </row>
    <row r="131" spans="1:2" x14ac:dyDescent="0.35">
      <c r="A131" t="s">
        <v>131</v>
      </c>
      <c r="B131">
        <v>21730</v>
      </c>
    </row>
    <row r="132" spans="1:2" x14ac:dyDescent="0.35">
      <c r="A132" t="s">
        <v>132</v>
      </c>
      <c r="B132">
        <v>33450</v>
      </c>
    </row>
    <row r="133" spans="1:2" x14ac:dyDescent="0.35">
      <c r="A133" t="s">
        <v>133</v>
      </c>
      <c r="B133">
        <v>32707</v>
      </c>
    </row>
    <row r="134" spans="1:2" x14ac:dyDescent="0.35">
      <c r="A134" t="s">
        <v>134</v>
      </c>
      <c r="B134">
        <v>22886</v>
      </c>
    </row>
    <row r="135" spans="1:2" x14ac:dyDescent="0.35">
      <c r="A135" t="s">
        <v>135</v>
      </c>
      <c r="B135">
        <v>24865</v>
      </c>
    </row>
    <row r="136" spans="1:2" x14ac:dyDescent="0.35">
      <c r="A136" t="s">
        <v>136</v>
      </c>
      <c r="B136">
        <v>33344</v>
      </c>
    </row>
    <row r="137" spans="1:2" x14ac:dyDescent="0.35">
      <c r="A137" t="s">
        <v>137</v>
      </c>
      <c r="B137">
        <v>27779</v>
      </c>
    </row>
    <row r="138" spans="1:2" x14ac:dyDescent="0.35">
      <c r="A138" t="s">
        <v>138</v>
      </c>
      <c r="B138">
        <v>13297</v>
      </c>
    </row>
    <row r="139" spans="1:2" x14ac:dyDescent="0.35">
      <c r="A139" t="s">
        <v>139</v>
      </c>
      <c r="B139">
        <v>27290</v>
      </c>
    </row>
    <row r="140" spans="1:2" x14ac:dyDescent="0.35">
      <c r="A140" t="s">
        <v>140</v>
      </c>
      <c r="B140">
        <v>29326</v>
      </c>
    </row>
    <row r="141" spans="1:2" x14ac:dyDescent="0.35">
      <c r="A141" t="s">
        <v>141</v>
      </c>
      <c r="B141">
        <v>30844</v>
      </c>
    </row>
    <row r="142" spans="1:2" x14ac:dyDescent="0.35">
      <c r="A142" t="s">
        <v>142</v>
      </c>
      <c r="B142">
        <v>33449</v>
      </c>
    </row>
    <row r="143" spans="1:2" x14ac:dyDescent="0.35">
      <c r="A143" t="s">
        <v>143</v>
      </c>
      <c r="B143">
        <v>33740</v>
      </c>
    </row>
    <row r="144" spans="1:2" x14ac:dyDescent="0.35">
      <c r="A144" t="s">
        <v>144</v>
      </c>
      <c r="B144">
        <v>26462</v>
      </c>
    </row>
    <row r="145" spans="1:2" x14ac:dyDescent="0.35">
      <c r="A145" t="s">
        <v>145</v>
      </c>
      <c r="B145">
        <v>28128</v>
      </c>
    </row>
    <row r="146" spans="1:2" x14ac:dyDescent="0.35">
      <c r="A146" t="s">
        <v>146</v>
      </c>
      <c r="B146">
        <v>28970</v>
      </c>
    </row>
    <row r="147" spans="1:2" x14ac:dyDescent="0.35">
      <c r="A147" t="s">
        <v>147</v>
      </c>
      <c r="B147">
        <v>27336</v>
      </c>
    </row>
    <row r="148" spans="1:2" x14ac:dyDescent="0.35">
      <c r="A148" t="s">
        <v>148</v>
      </c>
      <c r="B148">
        <v>29471</v>
      </c>
    </row>
    <row r="149" spans="1:2" x14ac:dyDescent="0.35">
      <c r="A149" t="s">
        <v>149</v>
      </c>
      <c r="B149">
        <v>21518</v>
      </c>
    </row>
    <row r="150" spans="1:2" x14ac:dyDescent="0.35">
      <c r="A150" t="s">
        <v>150</v>
      </c>
      <c r="B150">
        <v>28178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1972-39E6-473B-8153-1CDF91E9C0EC}">
  <dimension ref="A1:AM167"/>
  <sheetViews>
    <sheetView tabSelected="1" topLeftCell="A133" zoomScale="73" workbookViewId="0">
      <selection activeCell="H150" sqref="H150"/>
    </sheetView>
  </sheetViews>
  <sheetFormatPr defaultRowHeight="14.5" x14ac:dyDescent="0.35"/>
  <cols>
    <col min="3" max="3" width="13.26953125" bestFit="1" customWidth="1"/>
    <col min="8" max="8" width="9.81640625" bestFit="1" customWidth="1"/>
    <col min="14" max="14" width="11.81640625" bestFit="1" customWidth="1"/>
    <col min="15" max="15" width="12.26953125" bestFit="1" customWidth="1"/>
    <col min="18" max="18" width="12.90625" bestFit="1" customWidth="1"/>
    <col min="19" max="19" width="14" bestFit="1" customWidth="1"/>
    <col min="36" max="36" width="10.36328125" bestFit="1" customWidth="1"/>
  </cols>
  <sheetData>
    <row r="1" spans="1:19" x14ac:dyDescent="0.35">
      <c r="A1" t="s">
        <v>151</v>
      </c>
      <c r="B1" t="s">
        <v>152</v>
      </c>
      <c r="C1" t="s">
        <v>165</v>
      </c>
      <c r="D1" s="1" t="s">
        <v>164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159</v>
      </c>
      <c r="K1" s="1" t="s">
        <v>158</v>
      </c>
      <c r="L1" s="1" t="s">
        <v>160</v>
      </c>
      <c r="M1" s="1" t="s">
        <v>161</v>
      </c>
      <c r="N1" s="1" t="s">
        <v>163</v>
      </c>
      <c r="O1" s="1" t="s">
        <v>162</v>
      </c>
      <c r="P1" s="1" t="s">
        <v>175</v>
      </c>
      <c r="Q1" s="1" t="s">
        <v>161</v>
      </c>
      <c r="R1" s="1" t="s">
        <v>163</v>
      </c>
      <c r="S1" s="1" t="s">
        <v>162</v>
      </c>
    </row>
    <row r="2" spans="1:19" x14ac:dyDescent="0.35">
      <c r="A2">
        <v>2011</v>
      </c>
      <c r="B2">
        <v>1</v>
      </c>
      <c r="C2">
        <v>27619</v>
      </c>
      <c r="F2">
        <v>0</v>
      </c>
      <c r="G2">
        <f>F2^2</f>
        <v>0</v>
      </c>
      <c r="H2">
        <f>F2*C2</f>
        <v>0</v>
      </c>
      <c r="I2">
        <f>B$150+B$151*F2</f>
        <v>33425.801724137928</v>
      </c>
      <c r="K2">
        <v>0.95654027009550235</v>
      </c>
    </row>
    <row r="3" spans="1:19" x14ac:dyDescent="0.35">
      <c r="B3">
        <v>2</v>
      </c>
      <c r="C3">
        <v>25532</v>
      </c>
      <c r="F3">
        <v>1</v>
      </c>
      <c r="G3">
        <f t="shared" ref="G3:G66" si="0">F3^2</f>
        <v>1</v>
      </c>
      <c r="H3">
        <f t="shared" ref="H3:H66" si="1">F3*C3</f>
        <v>25532</v>
      </c>
      <c r="I3">
        <f>B$150+B$151*F3</f>
        <v>33356.185907483319</v>
      </c>
      <c r="K3">
        <v>0.98877128589391416</v>
      </c>
    </row>
    <row r="4" spans="1:19" x14ac:dyDescent="0.35">
      <c r="B4">
        <v>3</v>
      </c>
      <c r="C4">
        <v>32275</v>
      </c>
      <c r="F4">
        <v>2</v>
      </c>
      <c r="G4">
        <f t="shared" si="0"/>
        <v>4</v>
      </c>
      <c r="H4">
        <f t="shared" si="1"/>
        <v>64550</v>
      </c>
      <c r="I4">
        <f t="shared" ref="I4:I66" si="2">B$150+B$151*F4</f>
        <v>33286.570090828711</v>
      </c>
      <c r="K4">
        <v>1.12387322896749</v>
      </c>
    </row>
    <row r="5" spans="1:19" x14ac:dyDescent="0.35">
      <c r="B5">
        <v>4</v>
      </c>
      <c r="C5">
        <v>21128</v>
      </c>
      <c r="F5">
        <v>3</v>
      </c>
      <c r="G5">
        <f t="shared" si="0"/>
        <v>9</v>
      </c>
      <c r="H5">
        <f t="shared" si="1"/>
        <v>63384</v>
      </c>
      <c r="I5">
        <f t="shared" si="2"/>
        <v>33216.954274174095</v>
      </c>
      <c r="K5">
        <v>0.99808058046878956</v>
      </c>
    </row>
    <row r="6" spans="1:19" x14ac:dyDescent="0.35">
      <c r="B6">
        <v>5</v>
      </c>
      <c r="C6">
        <v>19554</v>
      </c>
      <c r="D6">
        <f>SUM(C2:C5)/4</f>
        <v>26638.5</v>
      </c>
      <c r="F6">
        <v>4</v>
      </c>
      <c r="G6">
        <f t="shared" si="0"/>
        <v>16</v>
      </c>
      <c r="H6">
        <f t="shared" si="1"/>
        <v>78216</v>
      </c>
      <c r="I6">
        <f t="shared" si="2"/>
        <v>33147.338457519487</v>
      </c>
      <c r="K6">
        <v>0.8785419734796418</v>
      </c>
    </row>
    <row r="7" spans="1:19" x14ac:dyDescent="0.35">
      <c r="B7">
        <v>6</v>
      </c>
      <c r="C7">
        <v>26175</v>
      </c>
      <c r="D7">
        <f>SUM(C3:C6)/4</f>
        <v>24622.25</v>
      </c>
      <c r="E7">
        <f>($D6:$D7)/2</f>
        <v>12311.125</v>
      </c>
      <c r="F7">
        <v>5</v>
      </c>
      <c r="G7">
        <f t="shared" si="0"/>
        <v>25</v>
      </c>
      <c r="H7">
        <f t="shared" si="1"/>
        <v>130875</v>
      </c>
      <c r="I7">
        <f t="shared" si="2"/>
        <v>33077.722640864878</v>
      </c>
      <c r="J7">
        <f>$E7/$I7</f>
        <v>0.37218780548061647</v>
      </c>
      <c r="K7">
        <v>0.8978050071877538</v>
      </c>
      <c r="L7">
        <f>$I7+$J7+$K7+1</f>
        <v>33079.992633677546</v>
      </c>
      <c r="M7">
        <f>$C7-$L7</f>
        <v>-6904.9926336775461</v>
      </c>
      <c r="N7">
        <f>$M7^2</f>
        <v>47678923.271141171</v>
      </c>
      <c r="O7">
        <f>ABS($M7/$C7)</f>
        <v>0.26380105572789098</v>
      </c>
      <c r="P7">
        <f>$I7*$J7*$K7*1</f>
        <v>11052.989669114335</v>
      </c>
      <c r="Q7">
        <f>$C7-P7</f>
        <v>15122.010330885665</v>
      </c>
      <c r="R7">
        <f>Q7^2</f>
        <v>228675196.44741279</v>
      </c>
      <c r="S7">
        <f>ABS($Q7/$C7)</f>
        <v>0.57772723327165865</v>
      </c>
    </row>
    <row r="8" spans="1:19" x14ac:dyDescent="0.35">
      <c r="B8">
        <v>7</v>
      </c>
      <c r="C8">
        <v>30149</v>
      </c>
      <c r="D8">
        <f>SUM(C4:C7)/4</f>
        <v>24783</v>
      </c>
      <c r="E8">
        <f t="shared" ref="E8:E71" si="3">($D7:$D8)/2</f>
        <v>12391.5</v>
      </c>
      <c r="F8">
        <v>6</v>
      </c>
      <c r="G8">
        <f t="shared" si="0"/>
        <v>36</v>
      </c>
      <c r="H8">
        <f t="shared" si="1"/>
        <v>180894</v>
      </c>
      <c r="I8">
        <f t="shared" si="2"/>
        <v>33008.10682421027</v>
      </c>
      <c r="J8">
        <f t="shared" ref="J8:J71" si="4">$E8/$I8</f>
        <v>0.37540777682261001</v>
      </c>
      <c r="K8">
        <v>0.95776764404983616</v>
      </c>
      <c r="L8">
        <f t="shared" ref="L8:L71" si="5">$I8+$J8+$K8+1</f>
        <v>33010.439999631148</v>
      </c>
      <c r="M8">
        <f t="shared" ref="M8:M71" si="6">$C8-$L8</f>
        <v>-2861.4399996311477</v>
      </c>
      <c r="N8">
        <f t="shared" ref="N8:N71" si="7">$M8^2</f>
        <v>8187838.871489102</v>
      </c>
      <c r="O8">
        <f t="shared" ref="O8:O71" si="8">ABS($M8/$C8)</f>
        <v>9.490994724969809E-2</v>
      </c>
      <c r="P8">
        <f t="shared" ref="P8:P71" si="9">$I8*$J8*$K8*1</f>
        <v>11868.177761243545</v>
      </c>
      <c r="Q8">
        <f t="shared" ref="Q8:Q71" si="10">$C8-P8</f>
        <v>18280.822238756453</v>
      </c>
      <c r="R8">
        <f t="shared" ref="R8:R71" si="11">Q8^2</f>
        <v>334188461.72501248</v>
      </c>
      <c r="S8">
        <f t="shared" ref="S8:S71" si="12">ABS($Q8/$C8)</f>
        <v>0.60634920689762362</v>
      </c>
    </row>
    <row r="9" spans="1:19" x14ac:dyDescent="0.35">
      <c r="B9">
        <v>8</v>
      </c>
      <c r="C9">
        <v>25207</v>
      </c>
      <c r="D9">
        <f>SUM(C5:C8)/4</f>
        <v>24251.5</v>
      </c>
      <c r="E9">
        <f t="shared" si="3"/>
        <v>12125.75</v>
      </c>
      <c r="F9">
        <v>7</v>
      </c>
      <c r="G9">
        <f t="shared" si="0"/>
        <v>49</v>
      </c>
      <c r="H9">
        <f t="shared" si="1"/>
        <v>176449</v>
      </c>
      <c r="I9">
        <f t="shared" si="2"/>
        <v>32938.491007555662</v>
      </c>
      <c r="J9">
        <f t="shared" si="4"/>
        <v>0.36813313631211919</v>
      </c>
      <c r="K9">
        <v>0.99948664132339626</v>
      </c>
      <c r="L9">
        <f t="shared" si="5"/>
        <v>32940.858627333299</v>
      </c>
      <c r="M9">
        <f t="shared" si="6"/>
        <v>-7733.8586273332985</v>
      </c>
      <c r="N9">
        <f t="shared" si="7"/>
        <v>59812569.267577693</v>
      </c>
      <c r="O9">
        <f t="shared" si="8"/>
        <v>0.30681392578780886</v>
      </c>
      <c r="P9">
        <f t="shared" si="9"/>
        <v>12119.525141027172</v>
      </c>
      <c r="Q9">
        <f t="shared" si="10"/>
        <v>13087.474858972828</v>
      </c>
      <c r="R9">
        <f t="shared" si="11"/>
        <v>171281998.18424585</v>
      </c>
      <c r="S9">
        <f t="shared" si="12"/>
        <v>0.51920001820814965</v>
      </c>
    </row>
    <row r="10" spans="1:19" x14ac:dyDescent="0.35">
      <c r="B10">
        <v>9</v>
      </c>
      <c r="C10">
        <v>30655</v>
      </c>
      <c r="D10">
        <f t="shared" ref="D10:D70" si="13">SUM(C6:C9)/4</f>
        <v>25271.25</v>
      </c>
      <c r="E10">
        <f t="shared" si="3"/>
        <v>12635.625</v>
      </c>
      <c r="F10">
        <v>8</v>
      </c>
      <c r="G10">
        <f t="shared" si="0"/>
        <v>64</v>
      </c>
      <c r="H10">
        <f t="shared" si="1"/>
        <v>245240</v>
      </c>
      <c r="I10">
        <f t="shared" si="2"/>
        <v>32868.875190901046</v>
      </c>
      <c r="J10">
        <f t="shared" si="4"/>
        <v>0.3844252328871256</v>
      </c>
      <c r="K10">
        <v>1.0920083748499654</v>
      </c>
      <c r="L10">
        <f t="shared" si="5"/>
        <v>32871.351624508781</v>
      </c>
      <c r="M10">
        <f t="shared" si="6"/>
        <v>-2216.3516245087812</v>
      </c>
      <c r="N10">
        <f t="shared" si="7"/>
        <v>4912214.5234627137</v>
      </c>
      <c r="O10">
        <f t="shared" si="8"/>
        <v>7.2299840956084854E-2</v>
      </c>
      <c r="P10">
        <f t="shared" si="9"/>
        <v>13798.208321463593</v>
      </c>
      <c r="Q10">
        <f t="shared" si="10"/>
        <v>16856.791678536407</v>
      </c>
      <c r="R10">
        <f t="shared" si="11"/>
        <v>284151425.69357425</v>
      </c>
      <c r="S10">
        <f t="shared" si="12"/>
        <v>0.54988718572945383</v>
      </c>
    </row>
    <row r="11" spans="1:19" x14ac:dyDescent="0.35">
      <c r="B11">
        <v>10</v>
      </c>
      <c r="C11">
        <v>31109</v>
      </c>
      <c r="D11">
        <f t="shared" si="13"/>
        <v>28046.5</v>
      </c>
      <c r="E11">
        <f t="shared" si="3"/>
        <v>14023.25</v>
      </c>
      <c r="F11">
        <v>9</v>
      </c>
      <c r="G11">
        <f t="shared" si="0"/>
        <v>81</v>
      </c>
      <c r="H11">
        <f t="shared" si="1"/>
        <v>279981</v>
      </c>
      <c r="I11">
        <f t="shared" si="2"/>
        <v>32799.259374246438</v>
      </c>
      <c r="J11">
        <f t="shared" si="4"/>
        <v>0.42754776380746201</v>
      </c>
      <c r="K11">
        <v>1.0854408989415729</v>
      </c>
      <c r="L11">
        <f t="shared" si="5"/>
        <v>32801.772362909185</v>
      </c>
      <c r="M11">
        <f t="shared" si="6"/>
        <v>-1692.7723629091852</v>
      </c>
      <c r="N11">
        <f t="shared" si="7"/>
        <v>2865478.272629146</v>
      </c>
      <c r="O11">
        <f t="shared" si="8"/>
        <v>5.4414232630723751E-2</v>
      </c>
      <c r="P11">
        <f t="shared" si="9"/>
        <v>15221.409086082413</v>
      </c>
      <c r="Q11">
        <f t="shared" si="10"/>
        <v>15887.590913917587</v>
      </c>
      <c r="R11">
        <f t="shared" si="11"/>
        <v>252415545.04799667</v>
      </c>
      <c r="S11">
        <f t="shared" si="12"/>
        <v>0.51070722022300896</v>
      </c>
    </row>
    <row r="12" spans="1:19" x14ac:dyDescent="0.35">
      <c r="B12">
        <v>11</v>
      </c>
      <c r="C12">
        <v>15195</v>
      </c>
      <c r="D12">
        <f t="shared" si="13"/>
        <v>29280</v>
      </c>
      <c r="E12">
        <f t="shared" si="3"/>
        <v>14640</v>
      </c>
      <c r="F12">
        <v>10</v>
      </c>
      <c r="G12">
        <f t="shared" si="0"/>
        <v>100</v>
      </c>
      <c r="H12">
        <f t="shared" si="1"/>
        <v>151950</v>
      </c>
      <c r="I12">
        <f t="shared" si="2"/>
        <v>32729.643557591829</v>
      </c>
      <c r="J12">
        <f t="shared" si="4"/>
        <v>0.44730092994258008</v>
      </c>
      <c r="K12">
        <v>1.0455966494741551</v>
      </c>
      <c r="L12">
        <f t="shared" si="5"/>
        <v>32732.136455171247</v>
      </c>
      <c r="M12">
        <f t="shared" si="6"/>
        <v>-17537.136455171247</v>
      </c>
      <c r="N12">
        <f t="shared" si="7"/>
        <v>307551155.04729635</v>
      </c>
      <c r="O12">
        <f t="shared" si="8"/>
        <v>1.1541386281784303</v>
      </c>
      <c r="P12">
        <f t="shared" si="9"/>
        <v>15307.534948301631</v>
      </c>
      <c r="Q12">
        <f t="shared" si="10"/>
        <v>-112.53494830163072</v>
      </c>
      <c r="R12">
        <f t="shared" si="11"/>
        <v>12664.114589250699</v>
      </c>
      <c r="S12">
        <f t="shared" si="12"/>
        <v>7.4060512209036342E-3</v>
      </c>
    </row>
    <row r="13" spans="1:19" x14ac:dyDescent="0.35">
      <c r="B13">
        <v>12</v>
      </c>
      <c r="C13">
        <v>26076</v>
      </c>
      <c r="D13">
        <f t="shared" si="13"/>
        <v>25541.5</v>
      </c>
      <c r="E13">
        <f t="shared" si="3"/>
        <v>12770.75</v>
      </c>
      <c r="F13">
        <v>11</v>
      </c>
      <c r="G13">
        <f t="shared" si="0"/>
        <v>121</v>
      </c>
      <c r="H13">
        <f t="shared" si="1"/>
        <v>286836</v>
      </c>
      <c r="I13">
        <f t="shared" si="2"/>
        <v>32660.027740937221</v>
      </c>
      <c r="J13">
        <f t="shared" si="4"/>
        <v>0.39102079463308892</v>
      </c>
      <c r="K13">
        <v>0.97608744526798275</v>
      </c>
      <c r="L13">
        <f t="shared" si="5"/>
        <v>32662.394849177123</v>
      </c>
      <c r="M13">
        <f t="shared" si="6"/>
        <v>-6586.3948491771225</v>
      </c>
      <c r="N13">
        <f t="shared" si="7"/>
        <v>43380597.109266929</v>
      </c>
      <c r="O13">
        <f t="shared" si="8"/>
        <v>0.25258455473144359</v>
      </c>
      <c r="P13">
        <f t="shared" si="9"/>
        <v>12465.368741656092</v>
      </c>
      <c r="Q13">
        <f t="shared" si="10"/>
        <v>13610.631258343908</v>
      </c>
      <c r="R13">
        <f t="shared" si="11"/>
        <v>185249283.2506083</v>
      </c>
      <c r="S13">
        <f t="shared" si="12"/>
        <v>0.52196008814020201</v>
      </c>
    </row>
    <row r="14" spans="1:19" x14ac:dyDescent="0.35">
      <c r="A14">
        <v>2012</v>
      </c>
      <c r="B14">
        <v>1</v>
      </c>
      <c r="C14">
        <v>29189</v>
      </c>
      <c r="D14">
        <f t="shared" si="13"/>
        <v>25758.75</v>
      </c>
      <c r="E14">
        <f t="shared" si="3"/>
        <v>12879.375</v>
      </c>
      <c r="F14">
        <v>12</v>
      </c>
      <c r="G14">
        <f t="shared" si="0"/>
        <v>144</v>
      </c>
      <c r="H14">
        <f t="shared" si="1"/>
        <v>350268</v>
      </c>
      <c r="I14">
        <f t="shared" si="2"/>
        <v>32590.411924282609</v>
      </c>
      <c r="J14">
        <f t="shared" si="4"/>
        <v>0.39518908290949761</v>
      </c>
      <c r="K14">
        <v>0.95654027009550235</v>
      </c>
      <c r="L14">
        <f t="shared" si="5"/>
        <v>32592.763653635615</v>
      </c>
      <c r="M14">
        <f t="shared" si="6"/>
        <v>-3403.7636536356149</v>
      </c>
      <c r="N14">
        <f t="shared" si="7"/>
        <v>11585607.009810871</v>
      </c>
      <c r="O14">
        <f t="shared" si="8"/>
        <v>0.11661117728033214</v>
      </c>
      <c r="P14">
        <f t="shared" si="9"/>
        <v>12319.640841161261</v>
      </c>
      <c r="Q14">
        <f t="shared" si="10"/>
        <v>16869.359158838739</v>
      </c>
      <c r="R14">
        <f t="shared" si="11"/>
        <v>284575278.42989647</v>
      </c>
      <c r="S14">
        <f t="shared" si="12"/>
        <v>0.57793549483842332</v>
      </c>
    </row>
    <row r="15" spans="1:19" x14ac:dyDescent="0.35">
      <c r="B15">
        <v>2</v>
      </c>
      <c r="C15">
        <v>33558</v>
      </c>
      <c r="D15">
        <f t="shared" si="13"/>
        <v>25392.25</v>
      </c>
      <c r="E15">
        <f t="shared" si="3"/>
        <v>12696.125</v>
      </c>
      <c r="F15">
        <v>13</v>
      </c>
      <c r="G15">
        <f t="shared" si="0"/>
        <v>169</v>
      </c>
      <c r="H15">
        <f t="shared" si="1"/>
        <v>436254</v>
      </c>
      <c r="I15">
        <f t="shared" si="2"/>
        <v>32520.796107628001</v>
      </c>
      <c r="J15">
        <f t="shared" si="4"/>
        <v>0.39040019063438691</v>
      </c>
      <c r="K15">
        <v>0.98877128589391416</v>
      </c>
      <c r="L15">
        <f t="shared" si="5"/>
        <v>32523.175279104529</v>
      </c>
      <c r="M15">
        <f t="shared" si="6"/>
        <v>1034.8247208954708</v>
      </c>
      <c r="N15">
        <f t="shared" si="7"/>
        <v>1070862.2029763891</v>
      </c>
      <c r="O15">
        <f t="shared" si="8"/>
        <v>3.0836900914699053E-2</v>
      </c>
      <c r="P15">
        <f t="shared" si="9"/>
        <v>12553.563842119871</v>
      </c>
      <c r="Q15">
        <f t="shared" si="10"/>
        <v>21004.436157880129</v>
      </c>
      <c r="R15">
        <f t="shared" si="11"/>
        <v>441186338.31046218</v>
      </c>
      <c r="S15">
        <f t="shared" si="12"/>
        <v>0.62591442153525623</v>
      </c>
    </row>
    <row r="16" spans="1:19" x14ac:dyDescent="0.35">
      <c r="B16">
        <v>3</v>
      </c>
      <c r="C16">
        <v>33306</v>
      </c>
      <c r="D16">
        <f t="shared" si="13"/>
        <v>26004.5</v>
      </c>
      <c r="E16">
        <f t="shared" si="3"/>
        <v>13002.25</v>
      </c>
      <c r="F16">
        <v>14</v>
      </c>
      <c r="G16">
        <f t="shared" si="0"/>
        <v>196</v>
      </c>
      <c r="H16">
        <f t="shared" si="1"/>
        <v>466284</v>
      </c>
      <c r="I16">
        <f t="shared" si="2"/>
        <v>32451.180290973392</v>
      </c>
      <c r="J16">
        <f t="shared" si="4"/>
        <v>0.40067109681112895</v>
      </c>
      <c r="K16">
        <v>1.12387322896749</v>
      </c>
      <c r="L16">
        <f t="shared" si="5"/>
        <v>32453.70483529917</v>
      </c>
      <c r="M16">
        <f t="shared" si="6"/>
        <v>852.29516470083036</v>
      </c>
      <c r="N16">
        <f t="shared" si="7"/>
        <v>726407.04777241556</v>
      </c>
      <c r="O16">
        <f t="shared" si="8"/>
        <v>2.558983860868403E-2</v>
      </c>
      <c r="P16">
        <f t="shared" si="9"/>
        <v>14612.880691342547</v>
      </c>
      <c r="Q16">
        <f t="shared" si="10"/>
        <v>18693.119308657453</v>
      </c>
      <c r="R16">
        <f t="shared" si="11"/>
        <v>349432709.48770207</v>
      </c>
      <c r="S16">
        <f t="shared" si="12"/>
        <v>0.56125380738177666</v>
      </c>
    </row>
    <row r="17" spans="1:19" x14ac:dyDescent="0.35">
      <c r="B17">
        <v>4</v>
      </c>
      <c r="C17">
        <v>34264</v>
      </c>
      <c r="D17">
        <f t="shared" si="13"/>
        <v>30532.25</v>
      </c>
      <c r="E17">
        <f t="shared" si="3"/>
        <v>15266.125</v>
      </c>
      <c r="F17">
        <v>15</v>
      </c>
      <c r="G17">
        <f t="shared" si="0"/>
        <v>225</v>
      </c>
      <c r="H17">
        <f t="shared" si="1"/>
        <v>513960</v>
      </c>
      <c r="I17">
        <f t="shared" si="2"/>
        <v>32381.56447431878</v>
      </c>
      <c r="J17">
        <f t="shared" si="4"/>
        <v>0.47144494862523645</v>
      </c>
      <c r="K17">
        <v>0.99808058046878956</v>
      </c>
      <c r="L17">
        <f t="shared" si="5"/>
        <v>32384.033999847874</v>
      </c>
      <c r="M17">
        <f t="shared" si="6"/>
        <v>1879.9660001521261</v>
      </c>
      <c r="N17">
        <f t="shared" si="7"/>
        <v>3534272.1617279835</v>
      </c>
      <c r="O17">
        <f t="shared" si="8"/>
        <v>5.4867090828628472E-2</v>
      </c>
      <c r="P17">
        <f t="shared" si="9"/>
        <v>15236.8229015091</v>
      </c>
      <c r="Q17">
        <f t="shared" si="10"/>
        <v>19027.177098490902</v>
      </c>
      <c r="R17">
        <f t="shared" si="11"/>
        <v>362033468.33733666</v>
      </c>
      <c r="S17">
        <f t="shared" si="12"/>
        <v>0.55531102902436669</v>
      </c>
    </row>
    <row r="18" spans="1:19" x14ac:dyDescent="0.35">
      <c r="B18">
        <v>5</v>
      </c>
      <c r="C18">
        <v>34737</v>
      </c>
      <c r="D18">
        <f t="shared" si="13"/>
        <v>32579.25</v>
      </c>
      <c r="E18">
        <f t="shared" si="3"/>
        <v>16289.625</v>
      </c>
      <c r="F18">
        <v>16</v>
      </c>
      <c r="G18">
        <f t="shared" si="0"/>
        <v>256</v>
      </c>
      <c r="H18">
        <f t="shared" si="1"/>
        <v>555792</v>
      </c>
      <c r="I18">
        <f t="shared" si="2"/>
        <v>32311.948657664172</v>
      </c>
      <c r="J18">
        <f t="shared" si="4"/>
        <v>0.50413626156020186</v>
      </c>
      <c r="K18">
        <v>0.8785419734796418</v>
      </c>
      <c r="L18">
        <f t="shared" si="5"/>
        <v>32314.331335899213</v>
      </c>
      <c r="M18">
        <f t="shared" si="6"/>
        <v>2422.6686641007873</v>
      </c>
      <c r="N18">
        <f t="shared" si="7"/>
        <v>5869323.4560158933</v>
      </c>
      <c r="O18">
        <f t="shared" si="8"/>
        <v>6.974317483089465E-2</v>
      </c>
      <c r="P18">
        <f t="shared" si="9"/>
        <v>14311.119294743308</v>
      </c>
      <c r="Q18">
        <f t="shared" si="10"/>
        <v>20425.880705256692</v>
      </c>
      <c r="R18">
        <f t="shared" si="11"/>
        <v>417216602.58537763</v>
      </c>
      <c r="S18">
        <f t="shared" si="12"/>
        <v>0.58801510508266952</v>
      </c>
    </row>
    <row r="19" spans="1:19" x14ac:dyDescent="0.35">
      <c r="B19">
        <v>6</v>
      </c>
      <c r="C19">
        <v>37176</v>
      </c>
      <c r="D19">
        <f t="shared" si="13"/>
        <v>33966.25</v>
      </c>
      <c r="E19">
        <f t="shared" si="3"/>
        <v>16983.125</v>
      </c>
      <c r="F19">
        <v>17</v>
      </c>
      <c r="G19">
        <f t="shared" si="0"/>
        <v>289</v>
      </c>
      <c r="H19">
        <f t="shared" si="1"/>
        <v>631992</v>
      </c>
      <c r="I19">
        <f t="shared" si="2"/>
        <v>32242.33284100956</v>
      </c>
      <c r="J19">
        <f t="shared" si="4"/>
        <v>0.52673375353283625</v>
      </c>
      <c r="K19">
        <v>0.8978050071877538</v>
      </c>
      <c r="L19">
        <f t="shared" si="5"/>
        <v>32244.757379770283</v>
      </c>
      <c r="M19">
        <f t="shared" si="6"/>
        <v>4931.2426202297174</v>
      </c>
      <c r="N19">
        <f t="shared" si="7"/>
        <v>24317153.779570051</v>
      </c>
      <c r="O19">
        <f t="shared" si="8"/>
        <v>0.13264586346647617</v>
      </c>
      <c r="P19">
        <f t="shared" si="9"/>
        <v>15247.534662695522</v>
      </c>
      <c r="Q19">
        <f t="shared" si="10"/>
        <v>21928.465337304478</v>
      </c>
      <c r="R19">
        <f t="shared" si="11"/>
        <v>480857592.04936403</v>
      </c>
      <c r="S19">
        <f t="shared" si="12"/>
        <v>0.58985542654681722</v>
      </c>
    </row>
    <row r="20" spans="1:19" x14ac:dyDescent="0.35">
      <c r="B20">
        <v>7</v>
      </c>
      <c r="C20">
        <v>36353</v>
      </c>
      <c r="D20">
        <f t="shared" si="13"/>
        <v>34870.75</v>
      </c>
      <c r="E20">
        <f t="shared" si="3"/>
        <v>17435.375</v>
      </c>
      <c r="F20">
        <v>18</v>
      </c>
      <c r="G20">
        <f t="shared" si="0"/>
        <v>324</v>
      </c>
      <c r="H20">
        <f t="shared" si="1"/>
        <v>654354</v>
      </c>
      <c r="I20">
        <f t="shared" si="2"/>
        <v>32172.717024354952</v>
      </c>
      <c r="J20">
        <f t="shared" si="4"/>
        <v>0.541930449542117</v>
      </c>
      <c r="K20">
        <v>0.95776764404983616</v>
      </c>
      <c r="L20">
        <f t="shared" si="5"/>
        <v>32175.216722448542</v>
      </c>
      <c r="M20">
        <f t="shared" si="6"/>
        <v>4177.783277551458</v>
      </c>
      <c r="N20">
        <f t="shared" si="7"/>
        <v>17453873.114188604</v>
      </c>
      <c r="O20">
        <f t="shared" si="8"/>
        <v>0.1149226550092553</v>
      </c>
      <c r="P20">
        <f t="shared" si="9"/>
        <v>16699.038036875412</v>
      </c>
      <c r="Q20">
        <f t="shared" si="10"/>
        <v>19653.961963124588</v>
      </c>
      <c r="R20">
        <f t="shared" si="11"/>
        <v>386278220.84794807</v>
      </c>
      <c r="S20">
        <f t="shared" si="12"/>
        <v>0.540642091797777</v>
      </c>
    </row>
    <row r="21" spans="1:19" x14ac:dyDescent="0.35">
      <c r="B21">
        <v>8</v>
      </c>
      <c r="C21">
        <v>25848</v>
      </c>
      <c r="D21">
        <f t="shared" si="13"/>
        <v>35632.5</v>
      </c>
      <c r="E21">
        <f t="shared" si="3"/>
        <v>17816.25</v>
      </c>
      <c r="F21">
        <v>19</v>
      </c>
      <c r="G21">
        <f t="shared" si="0"/>
        <v>361</v>
      </c>
      <c r="H21">
        <f t="shared" si="1"/>
        <v>491112</v>
      </c>
      <c r="I21">
        <f t="shared" si="2"/>
        <v>32103.101207700343</v>
      </c>
      <c r="J21">
        <f t="shared" si="4"/>
        <v>0.55496974839697244</v>
      </c>
      <c r="K21">
        <v>0.99948664132339626</v>
      </c>
      <c r="L21">
        <f t="shared" si="5"/>
        <v>32105.655664090064</v>
      </c>
      <c r="M21">
        <f t="shared" si="6"/>
        <v>-6257.6556640900635</v>
      </c>
      <c r="N21">
        <f t="shared" si="7"/>
        <v>39158254.410318457</v>
      </c>
      <c r="O21">
        <f t="shared" si="8"/>
        <v>0.24209438502360195</v>
      </c>
      <c r="P21">
        <f t="shared" si="9"/>
        <v>17807.103873477958</v>
      </c>
      <c r="Q21">
        <f t="shared" si="10"/>
        <v>8040.8961265220423</v>
      </c>
      <c r="R21">
        <f t="shared" si="11"/>
        <v>64656010.517517187</v>
      </c>
      <c r="S21">
        <f t="shared" si="12"/>
        <v>0.31108387985616071</v>
      </c>
    </row>
    <row r="22" spans="1:19" x14ac:dyDescent="0.35">
      <c r="B22">
        <v>9</v>
      </c>
      <c r="C22">
        <v>33705</v>
      </c>
      <c r="D22">
        <f t="shared" si="13"/>
        <v>33528.5</v>
      </c>
      <c r="E22">
        <f t="shared" si="3"/>
        <v>16764.25</v>
      </c>
      <c r="F22">
        <v>20</v>
      </c>
      <c r="G22">
        <f t="shared" si="0"/>
        <v>400</v>
      </c>
      <c r="H22">
        <f t="shared" si="1"/>
        <v>674100</v>
      </c>
      <c r="I22">
        <f t="shared" si="2"/>
        <v>32033.485391045731</v>
      </c>
      <c r="J22">
        <f t="shared" si="4"/>
        <v>0.52333518489642983</v>
      </c>
      <c r="K22">
        <v>1.0920083748499654</v>
      </c>
      <c r="L22">
        <f t="shared" si="5"/>
        <v>32036.100734605476</v>
      </c>
      <c r="M22">
        <f t="shared" si="6"/>
        <v>1668.8992653945243</v>
      </c>
      <c r="N22">
        <f t="shared" si="7"/>
        <v>2785224.7580343829</v>
      </c>
      <c r="O22">
        <f t="shared" si="8"/>
        <v>4.9514886972096848E-2</v>
      </c>
      <c r="P22">
        <f t="shared" si="9"/>
        <v>18306.70139807853</v>
      </c>
      <c r="Q22">
        <f t="shared" si="10"/>
        <v>15398.29860192147</v>
      </c>
      <c r="R22">
        <f t="shared" si="11"/>
        <v>237107599.83393669</v>
      </c>
      <c r="S22">
        <f t="shared" si="12"/>
        <v>0.45685502453408899</v>
      </c>
    </row>
    <row r="23" spans="1:19" x14ac:dyDescent="0.35">
      <c r="B23">
        <v>10</v>
      </c>
      <c r="C23">
        <v>35855</v>
      </c>
      <c r="D23">
        <f t="shared" si="13"/>
        <v>33270.5</v>
      </c>
      <c r="E23">
        <f t="shared" si="3"/>
        <v>16635.25</v>
      </c>
      <c r="F23">
        <v>21</v>
      </c>
      <c r="G23">
        <f t="shared" si="0"/>
        <v>441</v>
      </c>
      <c r="H23">
        <f t="shared" si="1"/>
        <v>752955</v>
      </c>
      <c r="I23">
        <f t="shared" si="2"/>
        <v>31963.869574391123</v>
      </c>
      <c r="J23">
        <f t="shared" si="4"/>
        <v>0.52043917778114901</v>
      </c>
      <c r="K23">
        <v>1.0854408989415729</v>
      </c>
      <c r="L23">
        <f t="shared" si="5"/>
        <v>31966.475454467844</v>
      </c>
      <c r="M23">
        <f t="shared" si="6"/>
        <v>3888.5245455321565</v>
      </c>
      <c r="N23">
        <f t="shared" si="7"/>
        <v>15120623.141206063</v>
      </c>
      <c r="O23">
        <f t="shared" si="8"/>
        <v>0.1084513888030165</v>
      </c>
      <c r="P23">
        <f t="shared" si="9"/>
        <v>18056.580714117801</v>
      </c>
      <c r="Q23">
        <f t="shared" si="10"/>
        <v>17798.419285882199</v>
      </c>
      <c r="R23">
        <f t="shared" si="11"/>
        <v>316783729.07606339</v>
      </c>
      <c r="S23">
        <f t="shared" si="12"/>
        <v>0.49639992430294794</v>
      </c>
    </row>
    <row r="24" spans="1:19" x14ac:dyDescent="0.35">
      <c r="B24">
        <v>11</v>
      </c>
      <c r="C24">
        <v>36996</v>
      </c>
      <c r="D24">
        <f t="shared" si="13"/>
        <v>32940.25</v>
      </c>
      <c r="E24">
        <f t="shared" si="3"/>
        <v>16470.125</v>
      </c>
      <c r="F24">
        <v>22</v>
      </c>
      <c r="G24">
        <f t="shared" si="0"/>
        <v>484</v>
      </c>
      <c r="H24">
        <f t="shared" si="1"/>
        <v>813912</v>
      </c>
      <c r="I24">
        <f t="shared" si="2"/>
        <v>31894.253757736515</v>
      </c>
      <c r="J24">
        <f t="shared" si="4"/>
        <v>0.51639787922628166</v>
      </c>
      <c r="K24">
        <v>1.0455966494741551</v>
      </c>
      <c r="L24">
        <f t="shared" si="5"/>
        <v>31896.815752265215</v>
      </c>
      <c r="M24">
        <f t="shared" si="6"/>
        <v>5099.1842477347855</v>
      </c>
      <c r="N24">
        <f t="shared" si="7"/>
        <v>26001679.99234657</v>
      </c>
      <c r="O24">
        <f t="shared" si="8"/>
        <v>0.13783069109457199</v>
      </c>
      <c r="P24">
        <f t="shared" si="9"/>
        <v>17221.107516420518</v>
      </c>
      <c r="Q24">
        <f t="shared" si="10"/>
        <v>19774.892483579482</v>
      </c>
      <c r="R24">
        <f t="shared" si="11"/>
        <v>391046372.73712832</v>
      </c>
      <c r="S24">
        <f t="shared" si="12"/>
        <v>0.5345143389441962</v>
      </c>
    </row>
    <row r="25" spans="1:19" x14ac:dyDescent="0.35">
      <c r="B25">
        <v>12</v>
      </c>
      <c r="C25">
        <v>34427</v>
      </c>
      <c r="D25">
        <f t="shared" si="13"/>
        <v>33101</v>
      </c>
      <c r="E25">
        <f t="shared" si="3"/>
        <v>16550.5</v>
      </c>
      <c r="F25">
        <v>23</v>
      </c>
      <c r="G25">
        <f t="shared" si="0"/>
        <v>529</v>
      </c>
      <c r="H25">
        <f t="shared" si="1"/>
        <v>791821</v>
      </c>
      <c r="I25">
        <f t="shared" si="2"/>
        <v>31824.637941081903</v>
      </c>
      <c r="J25">
        <f t="shared" si="4"/>
        <v>0.5200530491702855</v>
      </c>
      <c r="K25">
        <v>0.97608744526798275</v>
      </c>
      <c r="L25">
        <f t="shared" si="5"/>
        <v>31827.134081576343</v>
      </c>
      <c r="M25">
        <f t="shared" si="6"/>
        <v>2599.8659184236567</v>
      </c>
      <c r="N25">
        <f t="shared" si="7"/>
        <v>6759302.7937808838</v>
      </c>
      <c r="O25">
        <f t="shared" si="8"/>
        <v>7.5518224603469852E-2</v>
      </c>
      <c r="P25">
        <f t="shared" si="9"/>
        <v>16154.735262907749</v>
      </c>
      <c r="Q25">
        <f t="shared" si="10"/>
        <v>18272.26473709225</v>
      </c>
      <c r="R25">
        <f t="shared" si="11"/>
        <v>333875658.62238491</v>
      </c>
      <c r="S25">
        <f t="shared" si="12"/>
        <v>0.53075390644239262</v>
      </c>
    </row>
    <row r="26" spans="1:19" x14ac:dyDescent="0.35">
      <c r="A26">
        <v>2013</v>
      </c>
      <c r="B26">
        <v>1</v>
      </c>
      <c r="C26">
        <v>35923</v>
      </c>
      <c r="D26">
        <f t="shared" si="13"/>
        <v>35245.75</v>
      </c>
      <c r="E26">
        <f t="shared" si="3"/>
        <v>17622.875</v>
      </c>
      <c r="F26">
        <v>24</v>
      </c>
      <c r="G26">
        <f t="shared" si="0"/>
        <v>576</v>
      </c>
      <c r="H26">
        <f t="shared" si="1"/>
        <v>862152</v>
      </c>
      <c r="I26">
        <f t="shared" si="2"/>
        <v>31755.022124427294</v>
      </c>
      <c r="J26">
        <f t="shared" si="4"/>
        <v>0.55496339857511057</v>
      </c>
      <c r="K26">
        <v>0.95654027009550235</v>
      </c>
      <c r="L26">
        <f t="shared" si="5"/>
        <v>31757.533628095967</v>
      </c>
      <c r="M26">
        <f t="shared" si="6"/>
        <v>4165.4663719040327</v>
      </c>
      <c r="N26">
        <f t="shared" si="7"/>
        <v>17351110.095463347</v>
      </c>
      <c r="O26">
        <f t="shared" si="8"/>
        <v>0.11595541496823852</v>
      </c>
      <c r="P26">
        <f t="shared" si="9"/>
        <v>16856.989612359277</v>
      </c>
      <c r="Q26">
        <f t="shared" si="10"/>
        <v>19066.010387640723</v>
      </c>
      <c r="R26">
        <f t="shared" si="11"/>
        <v>363512752.10162395</v>
      </c>
      <c r="S26">
        <f t="shared" si="12"/>
        <v>0.5307466076786661</v>
      </c>
    </row>
    <row r="27" spans="1:19" x14ac:dyDescent="0.35">
      <c r="B27">
        <v>2</v>
      </c>
      <c r="C27">
        <v>35318</v>
      </c>
      <c r="D27">
        <f t="shared" si="13"/>
        <v>35800.25</v>
      </c>
      <c r="E27">
        <f t="shared" si="3"/>
        <v>17900.125</v>
      </c>
      <c r="F27">
        <v>25</v>
      </c>
      <c r="G27">
        <f t="shared" si="0"/>
        <v>625</v>
      </c>
      <c r="H27">
        <f t="shared" si="1"/>
        <v>882950</v>
      </c>
      <c r="I27">
        <f t="shared" si="2"/>
        <v>31685.406307772682</v>
      </c>
      <c r="J27">
        <f t="shared" si="4"/>
        <v>0.56493279038713029</v>
      </c>
      <c r="K27">
        <v>0.98877128589391416</v>
      </c>
      <c r="L27">
        <f t="shared" si="5"/>
        <v>31687.960011848965</v>
      </c>
      <c r="M27">
        <f t="shared" si="6"/>
        <v>3630.0399881510348</v>
      </c>
      <c r="N27">
        <f t="shared" si="7"/>
        <v>13177190.315575564</v>
      </c>
      <c r="O27">
        <f t="shared" si="8"/>
        <v>0.10278158412568761</v>
      </c>
      <c r="P27">
        <f t="shared" si="9"/>
        <v>17699.129613911799</v>
      </c>
      <c r="Q27">
        <f t="shared" si="10"/>
        <v>17618.870386088201</v>
      </c>
      <c r="R27">
        <f t="shared" si="11"/>
        <v>310424593.68177581</v>
      </c>
      <c r="S27">
        <f t="shared" si="12"/>
        <v>0.49886376312611702</v>
      </c>
    </row>
    <row r="28" spans="1:19" x14ac:dyDescent="0.35">
      <c r="B28">
        <v>3</v>
      </c>
      <c r="C28">
        <v>32726</v>
      </c>
      <c r="D28">
        <f t="shared" si="13"/>
        <v>35666</v>
      </c>
      <c r="E28">
        <f t="shared" si="3"/>
        <v>17833</v>
      </c>
      <c r="F28">
        <v>26</v>
      </c>
      <c r="G28">
        <f t="shared" si="0"/>
        <v>676</v>
      </c>
      <c r="H28">
        <f t="shared" si="1"/>
        <v>850876</v>
      </c>
      <c r="I28">
        <f t="shared" si="2"/>
        <v>31615.790491118074</v>
      </c>
      <c r="J28">
        <f t="shared" si="4"/>
        <v>0.56405358597659871</v>
      </c>
      <c r="K28">
        <v>1.12387322896749</v>
      </c>
      <c r="L28">
        <f t="shared" si="5"/>
        <v>31618.47841793302</v>
      </c>
      <c r="M28">
        <f t="shared" si="6"/>
        <v>1107.52158206698</v>
      </c>
      <c r="N28">
        <f t="shared" si="7"/>
        <v>1226604.0547441463</v>
      </c>
      <c r="O28">
        <f t="shared" si="8"/>
        <v>3.38422533174534E-2</v>
      </c>
      <c r="P28">
        <f t="shared" si="9"/>
        <v>20042.031292177249</v>
      </c>
      <c r="Q28">
        <f t="shared" si="10"/>
        <v>12683.968707822751</v>
      </c>
      <c r="R28">
        <f t="shared" si="11"/>
        <v>160883062.18102673</v>
      </c>
      <c r="S28">
        <f t="shared" si="12"/>
        <v>0.38758078310281585</v>
      </c>
    </row>
    <row r="29" spans="1:19" x14ac:dyDescent="0.35">
      <c r="B29">
        <v>4</v>
      </c>
      <c r="C29">
        <v>39668</v>
      </c>
      <c r="D29">
        <f t="shared" si="13"/>
        <v>34598.5</v>
      </c>
      <c r="E29">
        <f t="shared" si="3"/>
        <v>17299.25</v>
      </c>
      <c r="F29">
        <v>27</v>
      </c>
      <c r="G29">
        <f t="shared" si="0"/>
        <v>729</v>
      </c>
      <c r="H29">
        <f t="shared" si="1"/>
        <v>1071036</v>
      </c>
      <c r="I29">
        <f t="shared" si="2"/>
        <v>31546.174674463466</v>
      </c>
      <c r="J29">
        <f t="shared" si="4"/>
        <v>0.54837869182293253</v>
      </c>
      <c r="K29">
        <v>0.99808058046878956</v>
      </c>
      <c r="L29">
        <f t="shared" si="5"/>
        <v>31548.721133735758</v>
      </c>
      <c r="M29">
        <f t="shared" si="6"/>
        <v>8119.2788662642415</v>
      </c>
      <c r="N29">
        <f t="shared" si="7"/>
        <v>65922689.308165148</v>
      </c>
      <c r="O29">
        <f t="shared" si="8"/>
        <v>0.20468082248321673</v>
      </c>
      <c r="P29">
        <f t="shared" si="9"/>
        <v>17266.045481674708</v>
      </c>
      <c r="Q29">
        <f t="shared" si="10"/>
        <v>22401.954518325292</v>
      </c>
      <c r="R29">
        <f t="shared" si="11"/>
        <v>501847566.24111497</v>
      </c>
      <c r="S29">
        <f t="shared" si="12"/>
        <v>0.56473617319565628</v>
      </c>
    </row>
    <row r="30" spans="1:19" x14ac:dyDescent="0.35">
      <c r="B30">
        <v>5</v>
      </c>
      <c r="C30">
        <v>36282</v>
      </c>
      <c r="D30">
        <f t="shared" si="13"/>
        <v>35908.75</v>
      </c>
      <c r="E30">
        <f t="shared" si="3"/>
        <v>17954.375</v>
      </c>
      <c r="F30">
        <v>28</v>
      </c>
      <c r="G30">
        <f t="shared" si="0"/>
        <v>784</v>
      </c>
      <c r="H30">
        <f t="shared" si="1"/>
        <v>1015896</v>
      </c>
      <c r="I30">
        <f t="shared" si="2"/>
        <v>31476.558857808854</v>
      </c>
      <c r="J30">
        <f t="shared" si="4"/>
        <v>0.57040463289225762</v>
      </c>
      <c r="K30">
        <v>0.8785419734796418</v>
      </c>
      <c r="L30">
        <f t="shared" si="5"/>
        <v>31479.007804415229</v>
      </c>
      <c r="M30">
        <f t="shared" si="6"/>
        <v>4802.9921955847713</v>
      </c>
      <c r="N30">
        <f t="shared" si="7"/>
        <v>23068734.03084822</v>
      </c>
      <c r="O30">
        <f t="shared" si="8"/>
        <v>0.13237947730513122</v>
      </c>
      <c r="P30">
        <f t="shared" si="9"/>
        <v>15773.672045093545</v>
      </c>
      <c r="Q30">
        <f t="shared" si="10"/>
        <v>20508.327954906454</v>
      </c>
      <c r="R30">
        <f t="shared" si="11"/>
        <v>420591515.50599754</v>
      </c>
      <c r="S30">
        <f t="shared" si="12"/>
        <v>0.56524800052109736</v>
      </c>
    </row>
    <row r="31" spans="1:19" x14ac:dyDescent="0.35">
      <c r="B31">
        <v>6</v>
      </c>
      <c r="C31">
        <v>35125</v>
      </c>
      <c r="D31">
        <f t="shared" si="13"/>
        <v>35998.5</v>
      </c>
      <c r="E31">
        <f t="shared" si="3"/>
        <v>17999.25</v>
      </c>
      <c r="F31">
        <v>29</v>
      </c>
      <c r="G31">
        <f t="shared" si="0"/>
        <v>841</v>
      </c>
      <c r="H31">
        <f t="shared" si="1"/>
        <v>1018625</v>
      </c>
      <c r="I31">
        <f t="shared" si="2"/>
        <v>31406.943041154245</v>
      </c>
      <c r="J31">
        <f t="shared" si="4"/>
        <v>0.57309780122231546</v>
      </c>
      <c r="K31">
        <v>0.8978050071877538</v>
      </c>
      <c r="L31">
        <f t="shared" si="5"/>
        <v>31409.413943962656</v>
      </c>
      <c r="M31">
        <f t="shared" si="6"/>
        <v>3715.586056037344</v>
      </c>
      <c r="N31">
        <f t="shared" si="7"/>
        <v>13805579.739819145</v>
      </c>
      <c r="O31">
        <f t="shared" si="8"/>
        <v>0.10578180942455072</v>
      </c>
      <c r="P31">
        <f t="shared" si="9"/>
        <v>16159.816775624178</v>
      </c>
      <c r="Q31">
        <f t="shared" si="10"/>
        <v>18965.183224375822</v>
      </c>
      <c r="R31">
        <f t="shared" si="11"/>
        <v>359678174.73414612</v>
      </c>
      <c r="S31">
        <f t="shared" si="12"/>
        <v>0.53993404197511241</v>
      </c>
    </row>
    <row r="32" spans="1:19" x14ac:dyDescent="0.35">
      <c r="B32">
        <v>7</v>
      </c>
      <c r="C32">
        <v>39210</v>
      </c>
      <c r="D32">
        <f t="shared" si="13"/>
        <v>35950.25</v>
      </c>
      <c r="E32">
        <f t="shared" si="3"/>
        <v>17975.125</v>
      </c>
      <c r="F32">
        <v>30</v>
      </c>
      <c r="G32">
        <f t="shared" si="0"/>
        <v>900</v>
      </c>
      <c r="H32">
        <f t="shared" si="1"/>
        <v>1176300</v>
      </c>
      <c r="I32">
        <f t="shared" si="2"/>
        <v>31337.327224499633</v>
      </c>
      <c r="J32">
        <f t="shared" si="4"/>
        <v>0.57360108828767575</v>
      </c>
      <c r="K32">
        <v>0.95776764404983616</v>
      </c>
      <c r="L32">
        <f t="shared" si="5"/>
        <v>31339.858593231969</v>
      </c>
      <c r="M32">
        <f t="shared" si="6"/>
        <v>7870.1414067680307</v>
      </c>
      <c r="N32">
        <f t="shared" si="7"/>
        <v>61939125.762524679</v>
      </c>
      <c r="O32">
        <f t="shared" si="8"/>
        <v>0.20071770994052615</v>
      </c>
      <c r="P32">
        <f t="shared" si="9"/>
        <v>17215.993122751312</v>
      </c>
      <c r="Q32">
        <f t="shared" si="10"/>
        <v>21994.006877248688</v>
      </c>
      <c r="R32">
        <f t="shared" si="11"/>
        <v>483736338.51646262</v>
      </c>
      <c r="S32">
        <f t="shared" si="12"/>
        <v>0.56092851000379207</v>
      </c>
    </row>
    <row r="33" spans="1:19" x14ac:dyDescent="0.35">
      <c r="B33">
        <v>8</v>
      </c>
      <c r="C33">
        <v>24899</v>
      </c>
      <c r="D33">
        <f t="shared" si="13"/>
        <v>37571.25</v>
      </c>
      <c r="E33">
        <f t="shared" si="3"/>
        <v>18785.625</v>
      </c>
      <c r="F33">
        <v>31</v>
      </c>
      <c r="G33">
        <f t="shared" si="0"/>
        <v>961</v>
      </c>
      <c r="H33">
        <f t="shared" si="1"/>
        <v>771869</v>
      </c>
      <c r="I33">
        <f t="shared" si="2"/>
        <v>31267.711407845025</v>
      </c>
      <c r="J33">
        <f t="shared" si="4"/>
        <v>0.60079948784760473</v>
      </c>
      <c r="K33">
        <v>0.99948664132339626</v>
      </c>
      <c r="L33">
        <f t="shared" si="5"/>
        <v>31270.311693974196</v>
      </c>
      <c r="M33">
        <f t="shared" si="6"/>
        <v>-6371.3116939741958</v>
      </c>
      <c r="N33">
        <f t="shared" si="7"/>
        <v>40593612.70177234</v>
      </c>
      <c r="O33">
        <f t="shared" si="8"/>
        <v>0.25588624820170269</v>
      </c>
      <c r="P33">
        <f t="shared" si="9"/>
        <v>18775.981236410826</v>
      </c>
      <c r="Q33">
        <f t="shared" si="10"/>
        <v>6123.0187635891743</v>
      </c>
      <c r="R33">
        <f t="shared" si="11"/>
        <v>37491358.779265098</v>
      </c>
      <c r="S33">
        <f t="shared" si="12"/>
        <v>0.24591424408968932</v>
      </c>
    </row>
    <row r="34" spans="1:19" x14ac:dyDescent="0.35">
      <c r="B34">
        <v>9</v>
      </c>
      <c r="C34">
        <v>40235</v>
      </c>
      <c r="D34">
        <f t="shared" si="13"/>
        <v>33879</v>
      </c>
      <c r="E34">
        <f t="shared" si="3"/>
        <v>16939.5</v>
      </c>
      <c r="F34">
        <v>32</v>
      </c>
      <c r="G34">
        <f t="shared" si="0"/>
        <v>1024</v>
      </c>
      <c r="H34">
        <f t="shared" si="1"/>
        <v>1287520</v>
      </c>
      <c r="I34">
        <f t="shared" si="2"/>
        <v>31198.095591190417</v>
      </c>
      <c r="J34">
        <f t="shared" si="4"/>
        <v>0.54296583426019451</v>
      </c>
      <c r="K34">
        <v>1.0920083748499654</v>
      </c>
      <c r="L34">
        <f t="shared" si="5"/>
        <v>31200.730565399528</v>
      </c>
      <c r="M34">
        <f t="shared" si="6"/>
        <v>9034.2694346004719</v>
      </c>
      <c r="N34">
        <f t="shared" si="7"/>
        <v>81618024.216956332</v>
      </c>
      <c r="O34">
        <f t="shared" si="8"/>
        <v>0.22453757759663159</v>
      </c>
      <c r="P34">
        <f t="shared" si="9"/>
        <v>18498.075865770988</v>
      </c>
      <c r="Q34">
        <f t="shared" si="10"/>
        <v>21736.924134229012</v>
      </c>
      <c r="R34">
        <f t="shared" si="11"/>
        <v>472493870.81722766</v>
      </c>
      <c r="S34">
        <f t="shared" si="12"/>
        <v>0.54024913966022148</v>
      </c>
    </row>
    <row r="35" spans="1:19" x14ac:dyDescent="0.35">
      <c r="B35">
        <v>10</v>
      </c>
      <c r="C35">
        <v>39246</v>
      </c>
      <c r="D35">
        <f t="shared" si="13"/>
        <v>34867.25</v>
      </c>
      <c r="E35">
        <f t="shared" si="3"/>
        <v>17433.625</v>
      </c>
      <c r="F35">
        <v>33</v>
      </c>
      <c r="G35">
        <f t="shared" si="0"/>
        <v>1089</v>
      </c>
      <c r="H35">
        <f t="shared" si="1"/>
        <v>1295118</v>
      </c>
      <c r="I35">
        <f t="shared" si="2"/>
        <v>31128.479774535805</v>
      </c>
      <c r="J35">
        <f t="shared" si="4"/>
        <v>0.5600538518511694</v>
      </c>
      <c r="K35">
        <v>1.0854408989415729</v>
      </c>
      <c r="L35">
        <f t="shared" si="5"/>
        <v>31131.125269286596</v>
      </c>
      <c r="M35">
        <f t="shared" si="6"/>
        <v>8114.8747307134036</v>
      </c>
      <c r="N35">
        <f t="shared" si="7"/>
        <v>65851191.895170934</v>
      </c>
      <c r="O35">
        <f t="shared" si="8"/>
        <v>0.20676947283069366</v>
      </c>
      <c r="P35">
        <f t="shared" si="9"/>
        <v>18923.169591810278</v>
      </c>
      <c r="Q35">
        <f t="shared" si="10"/>
        <v>20322.830408189722</v>
      </c>
      <c r="R35">
        <f t="shared" si="11"/>
        <v>413017435.80004084</v>
      </c>
      <c r="S35">
        <f t="shared" si="12"/>
        <v>0.51783189135681906</v>
      </c>
    </row>
    <row r="36" spans="1:19" x14ac:dyDescent="0.35">
      <c r="B36">
        <v>11</v>
      </c>
      <c r="C36">
        <v>40781</v>
      </c>
      <c r="D36">
        <f t="shared" si="13"/>
        <v>35897.5</v>
      </c>
      <c r="E36">
        <f t="shared" si="3"/>
        <v>17948.75</v>
      </c>
      <c r="F36">
        <v>34</v>
      </c>
      <c r="G36">
        <f t="shared" si="0"/>
        <v>1156</v>
      </c>
      <c r="H36">
        <f t="shared" si="1"/>
        <v>1386554</v>
      </c>
      <c r="I36">
        <f t="shared" si="2"/>
        <v>31058.863957881196</v>
      </c>
      <c r="J36">
        <f t="shared" si="4"/>
        <v>0.57789460761798084</v>
      </c>
      <c r="K36">
        <v>1.0455966494741551</v>
      </c>
      <c r="L36">
        <f t="shared" si="5"/>
        <v>31061.487449138287</v>
      </c>
      <c r="M36">
        <f t="shared" si="6"/>
        <v>9719.512550861713</v>
      </c>
      <c r="N36">
        <f t="shared" si="7"/>
        <v>94468924.226358369</v>
      </c>
      <c r="O36">
        <f t="shared" si="8"/>
        <v>0.23833433586380209</v>
      </c>
      <c r="P36">
        <f t="shared" si="9"/>
        <v>18767.152862249241</v>
      </c>
      <c r="Q36">
        <f t="shared" si="10"/>
        <v>22013.847137750759</v>
      </c>
      <c r="R36">
        <f t="shared" si="11"/>
        <v>484609465.80425727</v>
      </c>
      <c r="S36">
        <f t="shared" si="12"/>
        <v>0.53980645736374189</v>
      </c>
    </row>
    <row r="37" spans="1:19" x14ac:dyDescent="0.35">
      <c r="B37">
        <v>12</v>
      </c>
      <c r="C37">
        <v>34819</v>
      </c>
      <c r="D37">
        <f t="shared" si="13"/>
        <v>36290.25</v>
      </c>
      <c r="E37">
        <f t="shared" si="3"/>
        <v>18145.125</v>
      </c>
      <c r="F37">
        <v>35</v>
      </c>
      <c r="G37">
        <f t="shared" si="0"/>
        <v>1225</v>
      </c>
      <c r="H37">
        <f t="shared" si="1"/>
        <v>1218665</v>
      </c>
      <c r="I37">
        <f t="shared" si="2"/>
        <v>30989.248141226584</v>
      </c>
      <c r="J37">
        <f t="shared" si="4"/>
        <v>0.58552969459948301</v>
      </c>
      <c r="K37">
        <v>0.97608744526798275</v>
      </c>
      <c r="L37">
        <f t="shared" si="5"/>
        <v>30991.809758366453</v>
      </c>
      <c r="M37">
        <f t="shared" si="6"/>
        <v>3827.190241633547</v>
      </c>
      <c r="N37">
        <f t="shared" si="7"/>
        <v>14647385.145655047</v>
      </c>
      <c r="O37">
        <f t="shared" si="8"/>
        <v>0.10991671907962741</v>
      </c>
      <c r="P37">
        <f t="shared" si="9"/>
        <v>17711.228705318204</v>
      </c>
      <c r="Q37">
        <f t="shared" si="10"/>
        <v>17107.771294681796</v>
      </c>
      <c r="R37">
        <f t="shared" si="11"/>
        <v>292675838.67113847</v>
      </c>
      <c r="S37">
        <f t="shared" si="12"/>
        <v>0.49133436614152604</v>
      </c>
    </row>
    <row r="38" spans="1:19" x14ac:dyDescent="0.35">
      <c r="A38">
        <v>2014</v>
      </c>
      <c r="B38">
        <v>1</v>
      </c>
      <c r="C38">
        <v>35886</v>
      </c>
      <c r="D38">
        <f t="shared" si="13"/>
        <v>38770.25</v>
      </c>
      <c r="E38">
        <f t="shared" si="3"/>
        <v>19385.125</v>
      </c>
      <c r="F38">
        <v>36</v>
      </c>
      <c r="G38">
        <f t="shared" si="0"/>
        <v>1296</v>
      </c>
      <c r="H38">
        <f t="shared" si="1"/>
        <v>1291896</v>
      </c>
      <c r="I38">
        <f t="shared" si="2"/>
        <v>30919.632324571976</v>
      </c>
      <c r="J38">
        <f t="shared" si="4"/>
        <v>0.62695198948386432</v>
      </c>
      <c r="K38">
        <v>0.95654027009550235</v>
      </c>
      <c r="L38">
        <f t="shared" si="5"/>
        <v>30922.215816831558</v>
      </c>
      <c r="M38">
        <f t="shared" si="6"/>
        <v>4963.7841831684418</v>
      </c>
      <c r="N38">
        <f t="shared" si="7"/>
        <v>24639153.417073194</v>
      </c>
      <c r="O38">
        <f t="shared" si="8"/>
        <v>0.13832091019251078</v>
      </c>
      <c r="P38">
        <f t="shared" si="9"/>
        <v>18542.652703335076</v>
      </c>
      <c r="Q38">
        <f t="shared" si="10"/>
        <v>17343.347296664924</v>
      </c>
      <c r="R38">
        <f t="shared" si="11"/>
        <v>300791695.45273453</v>
      </c>
      <c r="S38">
        <f t="shared" si="12"/>
        <v>0.48329006567087235</v>
      </c>
    </row>
    <row r="39" spans="1:19" x14ac:dyDescent="0.35">
      <c r="B39">
        <v>2</v>
      </c>
      <c r="C39">
        <v>38631</v>
      </c>
      <c r="D39">
        <f t="shared" si="13"/>
        <v>37683</v>
      </c>
      <c r="E39">
        <f t="shared" si="3"/>
        <v>18841.5</v>
      </c>
      <c r="F39">
        <v>37</v>
      </c>
      <c r="G39">
        <f t="shared" si="0"/>
        <v>1369</v>
      </c>
      <c r="H39">
        <f t="shared" si="1"/>
        <v>1429347</v>
      </c>
      <c r="I39">
        <f t="shared" si="2"/>
        <v>30850.016507917368</v>
      </c>
      <c r="J39">
        <f t="shared" si="4"/>
        <v>0.61074521613836108</v>
      </c>
      <c r="K39">
        <v>0.98877128589391416</v>
      </c>
      <c r="L39">
        <f t="shared" si="5"/>
        <v>30852.6160244194</v>
      </c>
      <c r="M39">
        <f t="shared" si="6"/>
        <v>7778.3839755806002</v>
      </c>
      <c r="N39">
        <f t="shared" si="7"/>
        <v>60503257.271569066</v>
      </c>
      <c r="O39">
        <f t="shared" si="8"/>
        <v>0.20135083160106132</v>
      </c>
      <c r="P39">
        <f t="shared" si="9"/>
        <v>18629.934183170182</v>
      </c>
      <c r="Q39">
        <f t="shared" si="10"/>
        <v>20001.065816829818</v>
      </c>
      <c r="R39">
        <f t="shared" si="11"/>
        <v>400042633.80915821</v>
      </c>
      <c r="S39">
        <f t="shared" si="12"/>
        <v>0.51774652007014621</v>
      </c>
    </row>
    <row r="40" spans="1:19" x14ac:dyDescent="0.35">
      <c r="B40">
        <v>3</v>
      </c>
      <c r="C40">
        <v>38959</v>
      </c>
      <c r="D40">
        <f t="shared" si="13"/>
        <v>37529.25</v>
      </c>
      <c r="E40">
        <f t="shared" si="3"/>
        <v>18764.625</v>
      </c>
      <c r="F40">
        <v>38</v>
      </c>
      <c r="G40">
        <f t="shared" si="0"/>
        <v>1444</v>
      </c>
      <c r="H40">
        <f t="shared" si="1"/>
        <v>1480442</v>
      </c>
      <c r="I40">
        <f t="shared" si="2"/>
        <v>30780.400691262756</v>
      </c>
      <c r="J40">
        <f t="shared" si="4"/>
        <v>0.60962900347578897</v>
      </c>
      <c r="K40">
        <v>1.12387322896749</v>
      </c>
      <c r="L40">
        <f t="shared" si="5"/>
        <v>30783.1341934952</v>
      </c>
      <c r="M40">
        <f t="shared" si="6"/>
        <v>8175.8658065048003</v>
      </c>
      <c r="N40">
        <f t="shared" si="7"/>
        <v>66844781.685974389</v>
      </c>
      <c r="O40">
        <f t="shared" si="8"/>
        <v>0.20985820494634874</v>
      </c>
      <c r="P40">
        <f t="shared" si="9"/>
        <v>21089.059689114085</v>
      </c>
      <c r="Q40">
        <f t="shared" si="10"/>
        <v>17869.940310885915</v>
      </c>
      <c r="R40">
        <f t="shared" si="11"/>
        <v>319334766.71462542</v>
      </c>
      <c r="S40">
        <f t="shared" si="12"/>
        <v>0.45868580586991237</v>
      </c>
    </row>
    <row r="41" spans="1:19" x14ac:dyDescent="0.35">
      <c r="B41">
        <v>4</v>
      </c>
      <c r="C41">
        <v>39323</v>
      </c>
      <c r="D41">
        <f t="shared" si="13"/>
        <v>37073.75</v>
      </c>
      <c r="E41">
        <f t="shared" si="3"/>
        <v>18536.875</v>
      </c>
      <c r="F41">
        <v>39</v>
      </c>
      <c r="G41">
        <f t="shared" si="0"/>
        <v>1521</v>
      </c>
      <c r="H41">
        <f t="shared" si="1"/>
        <v>1533597</v>
      </c>
      <c r="I41">
        <f t="shared" si="2"/>
        <v>30710.784874608147</v>
      </c>
      <c r="J41">
        <f t="shared" si="4"/>
        <v>0.6035949610433563</v>
      </c>
      <c r="K41">
        <v>0.99808058046878956</v>
      </c>
      <c r="L41">
        <f t="shared" si="5"/>
        <v>30713.386550149662</v>
      </c>
      <c r="M41">
        <f t="shared" si="6"/>
        <v>8609.6134498503379</v>
      </c>
      <c r="N41">
        <f t="shared" si="7"/>
        <v>74125443.755843833</v>
      </c>
      <c r="O41">
        <f t="shared" si="8"/>
        <v>0.21894599724970978</v>
      </c>
      <c r="P41">
        <f t="shared" si="9"/>
        <v>18501.294960077394</v>
      </c>
      <c r="Q41">
        <f t="shared" si="10"/>
        <v>20821.705039922606</v>
      </c>
      <c r="R41">
        <f t="shared" si="11"/>
        <v>433543400.76953846</v>
      </c>
      <c r="S41">
        <f t="shared" si="12"/>
        <v>0.52950448948255746</v>
      </c>
    </row>
    <row r="42" spans="1:19" x14ac:dyDescent="0.35">
      <c r="B42">
        <v>5</v>
      </c>
      <c r="C42">
        <v>31440</v>
      </c>
      <c r="D42">
        <f t="shared" si="13"/>
        <v>38199.75</v>
      </c>
      <c r="E42">
        <f t="shared" si="3"/>
        <v>19099.875</v>
      </c>
      <c r="F42">
        <v>40</v>
      </c>
      <c r="G42">
        <f t="shared" si="0"/>
        <v>1600</v>
      </c>
      <c r="H42">
        <f t="shared" si="1"/>
        <v>1257600</v>
      </c>
      <c r="I42">
        <f t="shared" si="2"/>
        <v>30641.169057953535</v>
      </c>
      <c r="J42">
        <f t="shared" si="4"/>
        <v>0.62334028325992485</v>
      </c>
      <c r="K42">
        <v>0.8785419734796418</v>
      </c>
      <c r="L42">
        <f t="shared" si="5"/>
        <v>30643.670940210275</v>
      </c>
      <c r="M42">
        <f t="shared" si="6"/>
        <v>796.32905978972485</v>
      </c>
      <c r="N42">
        <f t="shared" si="7"/>
        <v>634139.97146558715</v>
      </c>
      <c r="O42">
        <f t="shared" si="8"/>
        <v>2.5328532436059949E-2</v>
      </c>
      <c r="P42">
        <f t="shared" si="9"/>
        <v>16780.041875714473</v>
      </c>
      <c r="Q42">
        <f t="shared" si="10"/>
        <v>14659.958124285527</v>
      </c>
      <c r="R42">
        <f t="shared" si="11"/>
        <v>214914372.20580524</v>
      </c>
      <c r="S42">
        <f t="shared" si="12"/>
        <v>0.46628365535259308</v>
      </c>
    </row>
    <row r="43" spans="1:19" x14ac:dyDescent="0.35">
      <c r="B43">
        <v>6</v>
      </c>
      <c r="C43">
        <v>39107</v>
      </c>
      <c r="D43">
        <f t="shared" si="13"/>
        <v>37088.25</v>
      </c>
      <c r="E43">
        <f t="shared" si="3"/>
        <v>18544.125</v>
      </c>
      <c r="F43">
        <v>41</v>
      </c>
      <c r="G43">
        <f t="shared" si="0"/>
        <v>1681</v>
      </c>
      <c r="H43">
        <f t="shared" si="1"/>
        <v>1603387</v>
      </c>
      <c r="I43">
        <f t="shared" si="2"/>
        <v>30571.553241298927</v>
      </c>
      <c r="J43">
        <f t="shared" si="4"/>
        <v>0.60658105440808463</v>
      </c>
      <c r="K43">
        <v>0.8978050071877538</v>
      </c>
      <c r="L43">
        <f t="shared" si="5"/>
        <v>30574.057627360526</v>
      </c>
      <c r="M43">
        <f t="shared" si="6"/>
        <v>8532.9423726394743</v>
      </c>
      <c r="N43">
        <f t="shared" si="7"/>
        <v>72811105.53478618</v>
      </c>
      <c r="O43">
        <f t="shared" si="8"/>
        <v>0.21819475727208618</v>
      </c>
      <c r="P43">
        <f t="shared" si="9"/>
        <v>16649.008278915604</v>
      </c>
      <c r="Q43">
        <f t="shared" si="10"/>
        <v>22457.991721084396</v>
      </c>
      <c r="R43">
        <f t="shared" si="11"/>
        <v>504361392.14429528</v>
      </c>
      <c r="S43">
        <f t="shared" si="12"/>
        <v>0.57427037924372604</v>
      </c>
    </row>
    <row r="44" spans="1:19" x14ac:dyDescent="0.35">
      <c r="B44">
        <v>7</v>
      </c>
      <c r="C44">
        <v>28757</v>
      </c>
      <c r="D44">
        <f t="shared" si="13"/>
        <v>37207.25</v>
      </c>
      <c r="E44">
        <f t="shared" si="3"/>
        <v>18603.625</v>
      </c>
      <c r="F44">
        <v>42</v>
      </c>
      <c r="G44">
        <f t="shared" si="0"/>
        <v>1764</v>
      </c>
      <c r="H44">
        <f t="shared" si="1"/>
        <v>1207794</v>
      </c>
      <c r="I44">
        <f t="shared" si="2"/>
        <v>30501.937424644319</v>
      </c>
      <c r="J44">
        <f t="shared" si="4"/>
        <v>0.60991617486465077</v>
      </c>
      <c r="K44">
        <v>0.95776764404983616</v>
      </c>
      <c r="L44">
        <f t="shared" si="5"/>
        <v>30504.505108463232</v>
      </c>
      <c r="M44">
        <f t="shared" si="6"/>
        <v>-1747.5051084632323</v>
      </c>
      <c r="N44">
        <f t="shared" si="7"/>
        <v>3053774.1041050935</v>
      </c>
      <c r="O44">
        <f t="shared" si="8"/>
        <v>6.0767990696638463E-2</v>
      </c>
      <c r="P44">
        <f t="shared" si="9"/>
        <v>17817.950087036632</v>
      </c>
      <c r="Q44">
        <f t="shared" si="10"/>
        <v>10939.049912963368</v>
      </c>
      <c r="R44">
        <f t="shared" si="11"/>
        <v>119662812.99830388</v>
      </c>
      <c r="S44">
        <f t="shared" si="12"/>
        <v>0.38039607445016405</v>
      </c>
    </row>
    <row r="45" spans="1:19" x14ac:dyDescent="0.35">
      <c r="B45">
        <v>8</v>
      </c>
      <c r="C45">
        <v>30273</v>
      </c>
      <c r="D45">
        <f t="shared" si="13"/>
        <v>34656.75</v>
      </c>
      <c r="E45">
        <f t="shared" si="3"/>
        <v>17328.375</v>
      </c>
      <c r="F45">
        <v>43</v>
      </c>
      <c r="G45">
        <f t="shared" si="0"/>
        <v>1849</v>
      </c>
      <c r="H45">
        <f t="shared" si="1"/>
        <v>1301739</v>
      </c>
      <c r="I45">
        <f t="shared" si="2"/>
        <v>30432.321607989707</v>
      </c>
      <c r="J45">
        <f t="shared" si="4"/>
        <v>0.56940693592862812</v>
      </c>
      <c r="K45">
        <v>0.99948664132339626</v>
      </c>
      <c r="L45">
        <f t="shared" si="5"/>
        <v>30434.890501566955</v>
      </c>
      <c r="M45">
        <f t="shared" si="6"/>
        <v>-161.89050156695521</v>
      </c>
      <c r="N45">
        <f t="shared" si="7"/>
        <v>26208.534497600325</v>
      </c>
      <c r="O45">
        <f t="shared" si="8"/>
        <v>5.3476861086431873E-3</v>
      </c>
      <c r="P45">
        <f t="shared" si="9"/>
        <v>17319.479328342306</v>
      </c>
      <c r="Q45">
        <f t="shared" si="10"/>
        <v>12953.520671657694</v>
      </c>
      <c r="R45">
        <f t="shared" si="11"/>
        <v>167793697.79106319</v>
      </c>
      <c r="S45">
        <f t="shared" si="12"/>
        <v>0.42789022137408561</v>
      </c>
    </row>
    <row r="46" spans="1:19" x14ac:dyDescent="0.35">
      <c r="B46">
        <v>9</v>
      </c>
      <c r="C46">
        <v>29247</v>
      </c>
      <c r="D46">
        <f t="shared" si="13"/>
        <v>32394.25</v>
      </c>
      <c r="E46">
        <f t="shared" si="3"/>
        <v>16197.125</v>
      </c>
      <c r="F46">
        <v>44</v>
      </c>
      <c r="G46">
        <f t="shared" si="0"/>
        <v>1936</v>
      </c>
      <c r="H46">
        <f t="shared" si="1"/>
        <v>1286868</v>
      </c>
      <c r="I46">
        <f t="shared" si="2"/>
        <v>30362.705791335098</v>
      </c>
      <c r="J46">
        <f t="shared" si="4"/>
        <v>0.53345459760119052</v>
      </c>
      <c r="K46">
        <v>1.0920083748499654</v>
      </c>
      <c r="L46">
        <f t="shared" si="5"/>
        <v>30365.331254307548</v>
      </c>
      <c r="M46">
        <f t="shared" si="6"/>
        <v>-1118.3312543075481</v>
      </c>
      <c r="N46">
        <f t="shared" si="7"/>
        <v>1250664.7943610938</v>
      </c>
      <c r="O46">
        <f t="shared" si="8"/>
        <v>3.8237468947500533E-2</v>
      </c>
      <c r="P46">
        <f t="shared" si="9"/>
        <v>17687.396148491749</v>
      </c>
      <c r="Q46">
        <f t="shared" si="10"/>
        <v>11559.603851508251</v>
      </c>
      <c r="R46">
        <f t="shared" si="11"/>
        <v>133624441.20380439</v>
      </c>
      <c r="S46">
        <f t="shared" si="12"/>
        <v>0.39524066918002704</v>
      </c>
    </row>
    <row r="47" spans="1:19" x14ac:dyDescent="0.35">
      <c r="B47">
        <v>10</v>
      </c>
      <c r="C47">
        <v>31538</v>
      </c>
      <c r="D47">
        <f t="shared" si="13"/>
        <v>31846</v>
      </c>
      <c r="E47">
        <f t="shared" si="3"/>
        <v>15923</v>
      </c>
      <c r="F47">
        <v>45</v>
      </c>
      <c r="G47">
        <f t="shared" si="0"/>
        <v>2025</v>
      </c>
      <c r="H47">
        <f t="shared" si="1"/>
        <v>1419210</v>
      </c>
      <c r="I47">
        <f t="shared" si="2"/>
        <v>30293.08997468049</v>
      </c>
      <c r="J47">
        <f t="shared" si="4"/>
        <v>0.52563142331497814</v>
      </c>
      <c r="K47">
        <v>1.0854408989415729</v>
      </c>
      <c r="L47">
        <f t="shared" si="5"/>
        <v>30295.701047002745</v>
      </c>
      <c r="M47">
        <f t="shared" si="6"/>
        <v>1242.2989529972547</v>
      </c>
      <c r="N47">
        <f t="shared" si="7"/>
        <v>1543306.6886180751</v>
      </c>
      <c r="O47">
        <f t="shared" si="8"/>
        <v>3.9390543249326358E-2</v>
      </c>
      <c r="P47">
        <f t="shared" si="9"/>
        <v>17283.475433846666</v>
      </c>
      <c r="Q47">
        <f t="shared" si="10"/>
        <v>14254.524566153334</v>
      </c>
      <c r="R47">
        <f t="shared" si="11"/>
        <v>203191470.6070689</v>
      </c>
      <c r="S47">
        <f t="shared" si="12"/>
        <v>0.4519793444781956</v>
      </c>
    </row>
    <row r="48" spans="1:19" x14ac:dyDescent="0.35">
      <c r="B48">
        <v>11</v>
      </c>
      <c r="C48">
        <v>28835</v>
      </c>
      <c r="D48">
        <f t="shared" si="13"/>
        <v>29953.75</v>
      </c>
      <c r="E48">
        <f t="shared" si="3"/>
        <v>14976.875</v>
      </c>
      <c r="F48">
        <v>46</v>
      </c>
      <c r="G48">
        <f t="shared" si="0"/>
        <v>2116</v>
      </c>
      <c r="H48">
        <f t="shared" si="1"/>
        <v>1326410</v>
      </c>
      <c r="I48">
        <f t="shared" si="2"/>
        <v>30223.474158025878</v>
      </c>
      <c r="J48">
        <f t="shared" si="4"/>
        <v>0.49553783663956691</v>
      </c>
      <c r="K48">
        <v>1.0455966494741551</v>
      </c>
      <c r="L48">
        <f t="shared" si="5"/>
        <v>30226.015292511991</v>
      </c>
      <c r="M48">
        <f t="shared" si="6"/>
        <v>-1391.015292511991</v>
      </c>
      <c r="N48">
        <f t="shared" si="7"/>
        <v>1934923.5440022198</v>
      </c>
      <c r="O48">
        <f t="shared" si="8"/>
        <v>4.8240516473452087E-2</v>
      </c>
      <c r="P48">
        <f t="shared" si="9"/>
        <v>15659.770319593237</v>
      </c>
      <c r="Q48">
        <f t="shared" si="10"/>
        <v>13175.229680406763</v>
      </c>
      <c r="R48">
        <f t="shared" si="11"/>
        <v>173586677.13147128</v>
      </c>
      <c r="S48">
        <f t="shared" si="12"/>
        <v>0.45691797053604172</v>
      </c>
    </row>
    <row r="49" spans="1:19" x14ac:dyDescent="0.35">
      <c r="B49">
        <v>12</v>
      </c>
      <c r="C49">
        <v>27123</v>
      </c>
      <c r="D49">
        <f t="shared" si="13"/>
        <v>29973.25</v>
      </c>
      <c r="E49">
        <f t="shared" si="3"/>
        <v>14986.625</v>
      </c>
      <c r="F49">
        <v>47</v>
      </c>
      <c r="G49">
        <f t="shared" si="0"/>
        <v>2209</v>
      </c>
      <c r="H49">
        <f t="shared" si="1"/>
        <v>1274781</v>
      </c>
      <c r="I49">
        <f t="shared" si="2"/>
        <v>30153.858341371269</v>
      </c>
      <c r="J49">
        <f t="shared" si="4"/>
        <v>0.49700522003972747</v>
      </c>
      <c r="K49">
        <v>0.97608744526798275</v>
      </c>
      <c r="L49">
        <f t="shared" si="5"/>
        <v>30156.33143403658</v>
      </c>
      <c r="M49">
        <f t="shared" si="6"/>
        <v>-3033.3314340365796</v>
      </c>
      <c r="N49">
        <f t="shared" si="7"/>
        <v>9201099.5887144133</v>
      </c>
      <c r="O49">
        <f t="shared" si="8"/>
        <v>0.11183613295124357</v>
      </c>
      <c r="P49">
        <f t="shared" si="9"/>
        <v>14628.256509439281</v>
      </c>
      <c r="Q49">
        <f t="shared" si="10"/>
        <v>12494.743490560719</v>
      </c>
      <c r="R49">
        <f t="shared" si="11"/>
        <v>156118614.89490944</v>
      </c>
      <c r="S49">
        <f t="shared" si="12"/>
        <v>0.46066967114849827</v>
      </c>
    </row>
    <row r="50" spans="1:19" x14ac:dyDescent="0.35">
      <c r="A50">
        <v>2015</v>
      </c>
      <c r="B50">
        <v>1</v>
      </c>
      <c r="C50">
        <v>27166</v>
      </c>
      <c r="D50">
        <f t="shared" si="13"/>
        <v>29185.75</v>
      </c>
      <c r="E50">
        <f t="shared" si="3"/>
        <v>14592.875</v>
      </c>
      <c r="F50">
        <v>48</v>
      </c>
      <c r="G50">
        <f t="shared" si="0"/>
        <v>2304</v>
      </c>
      <c r="H50">
        <f t="shared" si="1"/>
        <v>1303968</v>
      </c>
      <c r="I50">
        <f t="shared" si="2"/>
        <v>30084.242524716661</v>
      </c>
      <c r="J50">
        <f t="shared" si="4"/>
        <v>0.4850670575471781</v>
      </c>
      <c r="K50">
        <v>0.95654027009550235</v>
      </c>
      <c r="L50">
        <f t="shared" si="5"/>
        <v>30086.684132044305</v>
      </c>
      <c r="M50">
        <f t="shared" si="6"/>
        <v>-2920.6841320443054</v>
      </c>
      <c r="N50">
        <f t="shared" si="7"/>
        <v>8530395.7991753984</v>
      </c>
      <c r="O50">
        <f t="shared" si="8"/>
        <v>0.10751248369448227</v>
      </c>
      <c r="P50">
        <f t="shared" si="9"/>
        <v>13958.672593969904</v>
      </c>
      <c r="Q50">
        <f t="shared" si="10"/>
        <v>13207.327406030096</v>
      </c>
      <c r="R50">
        <f t="shared" si="11"/>
        <v>174433497.21007365</v>
      </c>
      <c r="S50">
        <f t="shared" si="12"/>
        <v>0.48617122160163789</v>
      </c>
    </row>
    <row r="51" spans="1:19" x14ac:dyDescent="0.35">
      <c r="B51">
        <v>2</v>
      </c>
      <c r="C51">
        <v>26743</v>
      </c>
      <c r="D51">
        <f t="shared" si="13"/>
        <v>28665.5</v>
      </c>
      <c r="E51">
        <f t="shared" si="3"/>
        <v>14332.75</v>
      </c>
      <c r="F51">
        <v>49</v>
      </c>
      <c r="G51">
        <f t="shared" si="0"/>
        <v>2401</v>
      </c>
      <c r="H51">
        <f t="shared" si="1"/>
        <v>1310407</v>
      </c>
      <c r="I51">
        <f t="shared" si="2"/>
        <v>30014.626708062049</v>
      </c>
      <c r="J51">
        <f t="shared" si="4"/>
        <v>0.47752551245790326</v>
      </c>
      <c r="K51">
        <v>0.98877128589391416</v>
      </c>
      <c r="L51">
        <f t="shared" si="5"/>
        <v>30017.093004860402</v>
      </c>
      <c r="M51">
        <f t="shared" si="6"/>
        <v>-3274.0930048604023</v>
      </c>
      <c r="N51">
        <f t="shared" si="7"/>
        <v>10719685.004475819</v>
      </c>
      <c r="O51">
        <f t="shared" si="8"/>
        <v>0.12242803742513564</v>
      </c>
      <c r="P51">
        <f t="shared" si="9"/>
        <v>14171.811647895998</v>
      </c>
      <c r="Q51">
        <f t="shared" si="10"/>
        <v>12571.188352104002</v>
      </c>
      <c r="R51">
        <f t="shared" si="11"/>
        <v>158034776.58407533</v>
      </c>
      <c r="S51">
        <f t="shared" si="12"/>
        <v>0.47007397644632248</v>
      </c>
    </row>
    <row r="52" spans="1:19" x14ac:dyDescent="0.35">
      <c r="B52">
        <v>3</v>
      </c>
      <c r="C52">
        <v>31801</v>
      </c>
      <c r="D52">
        <f t="shared" si="13"/>
        <v>27466.75</v>
      </c>
      <c r="E52">
        <f t="shared" si="3"/>
        <v>13733.375</v>
      </c>
      <c r="F52">
        <v>50</v>
      </c>
      <c r="G52">
        <f t="shared" si="0"/>
        <v>2500</v>
      </c>
      <c r="H52">
        <f t="shared" si="1"/>
        <v>1590050</v>
      </c>
      <c r="I52">
        <f t="shared" si="2"/>
        <v>29945.010891407441</v>
      </c>
      <c r="J52">
        <f t="shared" si="4"/>
        <v>0.45861980313858286</v>
      </c>
      <c r="K52">
        <v>1.12387322896749</v>
      </c>
      <c r="L52">
        <f t="shared" si="5"/>
        <v>29947.593384439548</v>
      </c>
      <c r="M52">
        <f t="shared" si="6"/>
        <v>1853.4066155604523</v>
      </c>
      <c r="N52">
        <f t="shared" si="7"/>
        <v>3435116.0826032502</v>
      </c>
      <c r="O52">
        <f t="shared" si="8"/>
        <v>5.8281394156172839E-2</v>
      </c>
      <c r="P52">
        <f t="shared" si="9"/>
        <v>15434.572505871403</v>
      </c>
      <c r="Q52">
        <f t="shared" si="10"/>
        <v>16366.427494128597</v>
      </c>
      <c r="R52">
        <f t="shared" si="11"/>
        <v>267859948.92056847</v>
      </c>
      <c r="S52">
        <f t="shared" si="12"/>
        <v>0.51465134725727479</v>
      </c>
    </row>
    <row r="53" spans="1:19" x14ac:dyDescent="0.35">
      <c r="B53">
        <v>4</v>
      </c>
      <c r="C53">
        <v>30053</v>
      </c>
      <c r="D53">
        <f t="shared" si="13"/>
        <v>28208.25</v>
      </c>
      <c r="E53">
        <f t="shared" si="3"/>
        <v>14104.125</v>
      </c>
      <c r="F53">
        <v>51</v>
      </c>
      <c r="G53">
        <f t="shared" si="0"/>
        <v>2601</v>
      </c>
      <c r="H53">
        <f t="shared" si="1"/>
        <v>1532703</v>
      </c>
      <c r="I53">
        <f t="shared" si="2"/>
        <v>29875.395074752829</v>
      </c>
      <c r="J53">
        <f t="shared" si="4"/>
        <v>0.47209835935924233</v>
      </c>
      <c r="K53">
        <v>0.99808058046878956</v>
      </c>
      <c r="L53">
        <f t="shared" si="5"/>
        <v>29877.865253692657</v>
      </c>
      <c r="M53">
        <f t="shared" si="6"/>
        <v>175.13474630734345</v>
      </c>
      <c r="N53">
        <f t="shared" si="7"/>
        <v>30672.179364137548</v>
      </c>
      <c r="O53">
        <f t="shared" si="8"/>
        <v>5.8275295746628769E-3</v>
      </c>
      <c r="P53">
        <f t="shared" si="9"/>
        <v>14077.053267004367</v>
      </c>
      <c r="Q53">
        <f t="shared" si="10"/>
        <v>15975.946732995633</v>
      </c>
      <c r="R53">
        <f t="shared" si="11"/>
        <v>255230874.01551384</v>
      </c>
      <c r="S53">
        <f t="shared" si="12"/>
        <v>0.53159241117344802</v>
      </c>
    </row>
    <row r="54" spans="1:19" x14ac:dyDescent="0.35">
      <c r="B54">
        <v>5</v>
      </c>
      <c r="C54">
        <v>23223</v>
      </c>
      <c r="D54">
        <f t="shared" si="13"/>
        <v>28940.75</v>
      </c>
      <c r="E54">
        <f t="shared" si="3"/>
        <v>14470.375</v>
      </c>
      <c r="F54">
        <v>52</v>
      </c>
      <c r="G54">
        <f t="shared" si="0"/>
        <v>2704</v>
      </c>
      <c r="H54">
        <f t="shared" si="1"/>
        <v>1207596</v>
      </c>
      <c r="I54">
        <f t="shared" si="2"/>
        <v>29805.77925809822</v>
      </c>
      <c r="J54">
        <f t="shared" si="4"/>
        <v>0.48548890048121807</v>
      </c>
      <c r="K54">
        <v>0.8785419734796418</v>
      </c>
      <c r="L54">
        <f t="shared" si="5"/>
        <v>29808.143288972184</v>
      </c>
      <c r="M54">
        <f t="shared" si="6"/>
        <v>-6585.1432889721837</v>
      </c>
      <c r="N54">
        <f t="shared" si="7"/>
        <v>43364112.136295386</v>
      </c>
      <c r="O54">
        <f t="shared" si="8"/>
        <v>0.28356126637265572</v>
      </c>
      <c r="P54">
        <f t="shared" si="9"/>
        <v>12712.831809490472</v>
      </c>
      <c r="Q54">
        <f t="shared" si="10"/>
        <v>10510.168190509528</v>
      </c>
      <c r="R54">
        <f t="shared" si="11"/>
        <v>110463635.39279833</v>
      </c>
      <c r="S54">
        <f t="shared" si="12"/>
        <v>0.45257581666923002</v>
      </c>
    </row>
    <row r="55" spans="1:19" x14ac:dyDescent="0.35">
      <c r="B55">
        <v>6</v>
      </c>
      <c r="C55">
        <v>23967</v>
      </c>
      <c r="D55">
        <f t="shared" si="13"/>
        <v>27955</v>
      </c>
      <c r="E55">
        <f t="shared" si="3"/>
        <v>13977.5</v>
      </c>
      <c r="F55">
        <v>53</v>
      </c>
      <c r="G55">
        <f t="shared" si="0"/>
        <v>2809</v>
      </c>
      <c r="H55">
        <f t="shared" si="1"/>
        <v>1270251</v>
      </c>
      <c r="I55">
        <f t="shared" si="2"/>
        <v>29736.163441443612</v>
      </c>
      <c r="J55">
        <f t="shared" si="4"/>
        <v>0.47005055065440643</v>
      </c>
      <c r="K55">
        <v>0.8978050071877538</v>
      </c>
      <c r="L55">
        <f t="shared" si="5"/>
        <v>29738.531297001457</v>
      </c>
      <c r="M55">
        <f t="shared" si="6"/>
        <v>-5771.5312970014566</v>
      </c>
      <c r="N55">
        <f t="shared" si="7"/>
        <v>33310573.512267314</v>
      </c>
      <c r="O55">
        <f t="shared" si="8"/>
        <v>0.24081158664002406</v>
      </c>
      <c r="P55">
        <f t="shared" si="9"/>
        <v>12549.069487966828</v>
      </c>
      <c r="Q55">
        <f t="shared" si="10"/>
        <v>11417.930512033172</v>
      </c>
      <c r="R55">
        <f t="shared" si="11"/>
        <v>130369137.17761809</v>
      </c>
      <c r="S55">
        <f t="shared" si="12"/>
        <v>0.47640215763479665</v>
      </c>
    </row>
    <row r="56" spans="1:19" x14ac:dyDescent="0.35">
      <c r="B56">
        <v>7</v>
      </c>
      <c r="C56">
        <v>13495</v>
      </c>
      <c r="D56">
        <f t="shared" si="13"/>
        <v>27261</v>
      </c>
      <c r="E56">
        <f t="shared" si="3"/>
        <v>13630.5</v>
      </c>
      <c r="F56">
        <v>54</v>
      </c>
      <c r="G56">
        <f t="shared" si="0"/>
        <v>2916</v>
      </c>
      <c r="H56">
        <f t="shared" si="1"/>
        <v>728730</v>
      </c>
      <c r="I56">
        <f t="shared" si="2"/>
        <v>29666.547624789</v>
      </c>
      <c r="J56">
        <f t="shared" si="4"/>
        <v>0.45945689981838411</v>
      </c>
      <c r="K56">
        <v>0.95776764404983616</v>
      </c>
      <c r="L56">
        <f t="shared" si="5"/>
        <v>29668.964849332868</v>
      </c>
      <c r="M56">
        <f t="shared" si="6"/>
        <v>-16173.964849332868</v>
      </c>
      <c r="N56">
        <f t="shared" si="7"/>
        <v>261597138.94745517</v>
      </c>
      <c r="O56">
        <f t="shared" si="8"/>
        <v>1.198515364900546</v>
      </c>
      <c r="P56">
        <f t="shared" si="9"/>
        <v>13054.851872221292</v>
      </c>
      <c r="Q56">
        <f t="shared" si="10"/>
        <v>440.14812777870793</v>
      </c>
      <c r="R56">
        <f t="shared" si="11"/>
        <v>193730.37438710179</v>
      </c>
      <c r="S56">
        <f t="shared" si="12"/>
        <v>3.2615644889122483E-2</v>
      </c>
    </row>
    <row r="57" spans="1:19" x14ac:dyDescent="0.35">
      <c r="B57">
        <v>8</v>
      </c>
      <c r="C57">
        <v>31991</v>
      </c>
      <c r="D57">
        <f t="shared" si="13"/>
        <v>22684.5</v>
      </c>
      <c r="E57">
        <f t="shared" si="3"/>
        <v>11342.25</v>
      </c>
      <c r="F57">
        <v>55</v>
      </c>
      <c r="G57">
        <f t="shared" si="0"/>
        <v>3025</v>
      </c>
      <c r="H57">
        <f t="shared" si="1"/>
        <v>1759505</v>
      </c>
      <c r="I57">
        <f t="shared" si="2"/>
        <v>29596.931808134392</v>
      </c>
      <c r="J57">
        <f t="shared" si="4"/>
        <v>0.38322384473929516</v>
      </c>
      <c r="K57">
        <v>0.99948664132339626</v>
      </c>
      <c r="L57">
        <f t="shared" si="5"/>
        <v>29599.314518620453</v>
      </c>
      <c r="M57">
        <f t="shared" si="6"/>
        <v>2391.6854813795471</v>
      </c>
      <c r="N57">
        <f t="shared" si="7"/>
        <v>5720159.4418417159</v>
      </c>
      <c r="O57">
        <f t="shared" si="8"/>
        <v>7.4761197880014604E-2</v>
      </c>
      <c r="P57">
        <f t="shared" si="9"/>
        <v>11336.427357550292</v>
      </c>
      <c r="Q57">
        <f t="shared" si="10"/>
        <v>20654.572642449708</v>
      </c>
      <c r="R57">
        <f t="shared" si="11"/>
        <v>426611371.04223192</v>
      </c>
      <c r="S57">
        <f t="shared" si="12"/>
        <v>0.64563698047731266</v>
      </c>
    </row>
    <row r="58" spans="1:19" x14ac:dyDescent="0.35">
      <c r="B58">
        <v>9</v>
      </c>
      <c r="C58">
        <v>32405</v>
      </c>
      <c r="D58">
        <f t="shared" si="13"/>
        <v>23169</v>
      </c>
      <c r="E58">
        <f t="shared" si="3"/>
        <v>11584.5</v>
      </c>
      <c r="F58">
        <v>56</v>
      </c>
      <c r="G58">
        <f t="shared" si="0"/>
        <v>3136</v>
      </c>
      <c r="H58">
        <f t="shared" si="1"/>
        <v>1814680</v>
      </c>
      <c r="I58">
        <f t="shared" si="2"/>
        <v>29527.31599147978</v>
      </c>
      <c r="J58">
        <f t="shared" si="4"/>
        <v>0.39233162957793899</v>
      </c>
      <c r="K58">
        <v>1.0920083748499654</v>
      </c>
      <c r="L58">
        <f t="shared" si="5"/>
        <v>29529.800331484206</v>
      </c>
      <c r="M58">
        <f t="shared" si="6"/>
        <v>2875.1996685157937</v>
      </c>
      <c r="N58">
        <f t="shared" si="7"/>
        <v>8266773.1338333301</v>
      </c>
      <c r="O58">
        <f t="shared" si="8"/>
        <v>8.8727038065600797E-2</v>
      </c>
      <c r="P58">
        <f t="shared" si="9"/>
        <v>12650.371018449425</v>
      </c>
      <c r="Q58">
        <f t="shared" si="10"/>
        <v>19754.628981550573</v>
      </c>
      <c r="R58">
        <f t="shared" si="11"/>
        <v>390245366.19871783</v>
      </c>
      <c r="S58">
        <f t="shared" si="12"/>
        <v>0.60961669438514343</v>
      </c>
    </row>
    <row r="59" spans="1:19" x14ac:dyDescent="0.35">
      <c r="B59">
        <v>10</v>
      </c>
      <c r="C59">
        <v>29826</v>
      </c>
      <c r="D59">
        <f t="shared" si="13"/>
        <v>25464.5</v>
      </c>
      <c r="E59">
        <f t="shared" si="3"/>
        <v>12732.25</v>
      </c>
      <c r="F59">
        <v>57</v>
      </c>
      <c r="G59">
        <f t="shared" si="0"/>
        <v>3249</v>
      </c>
      <c r="H59">
        <f t="shared" si="1"/>
        <v>1700082</v>
      </c>
      <c r="I59">
        <f t="shared" si="2"/>
        <v>29457.700174825171</v>
      </c>
      <c r="J59">
        <f t="shared" si="4"/>
        <v>0.43222145396405048</v>
      </c>
      <c r="K59">
        <v>1.0854408989415729</v>
      </c>
      <c r="L59">
        <f t="shared" si="5"/>
        <v>29460.217837178076</v>
      </c>
      <c r="M59">
        <f t="shared" si="6"/>
        <v>365.78216282192443</v>
      </c>
      <c r="N59">
        <f t="shared" si="7"/>
        <v>133796.59063868484</v>
      </c>
      <c r="O59">
        <f t="shared" si="8"/>
        <v>1.2263869202103012E-2</v>
      </c>
      <c r="P59">
        <f t="shared" si="9"/>
        <v>13820.104885548843</v>
      </c>
      <c r="Q59">
        <f t="shared" si="10"/>
        <v>16005.895114451157</v>
      </c>
      <c r="R59">
        <f t="shared" si="11"/>
        <v>256188678.41481143</v>
      </c>
      <c r="S59">
        <f t="shared" si="12"/>
        <v>0.53664236285291889</v>
      </c>
    </row>
    <row r="60" spans="1:19" x14ac:dyDescent="0.35">
      <c r="B60">
        <v>11</v>
      </c>
      <c r="C60">
        <v>29607</v>
      </c>
      <c r="D60">
        <f t="shared" si="13"/>
        <v>26929.25</v>
      </c>
      <c r="E60">
        <f t="shared" si="3"/>
        <v>13464.625</v>
      </c>
      <c r="F60">
        <v>58</v>
      </c>
      <c r="G60">
        <f t="shared" si="0"/>
        <v>3364</v>
      </c>
      <c r="H60">
        <f t="shared" si="1"/>
        <v>1717206</v>
      </c>
      <c r="I60">
        <f t="shared" si="2"/>
        <v>29388.084358170563</v>
      </c>
      <c r="J60">
        <f t="shared" si="4"/>
        <v>0.4581661341344464</v>
      </c>
      <c r="K60">
        <v>1.0455966494741551</v>
      </c>
      <c r="L60">
        <f t="shared" si="5"/>
        <v>29390.588120954173</v>
      </c>
      <c r="M60">
        <f t="shared" si="6"/>
        <v>216.41187904582694</v>
      </c>
      <c r="N60">
        <f t="shared" si="7"/>
        <v>46834.101392145625</v>
      </c>
      <c r="O60">
        <f t="shared" si="8"/>
        <v>7.3094835358471621E-3</v>
      </c>
      <c r="P60">
        <f t="shared" si="9"/>
        <v>14078.566786425945</v>
      </c>
      <c r="Q60">
        <f t="shared" si="10"/>
        <v>15528.433213574055</v>
      </c>
      <c r="R60">
        <f t="shared" si="11"/>
        <v>241132238.06842986</v>
      </c>
      <c r="S60">
        <f t="shared" si="12"/>
        <v>0.52448519652697179</v>
      </c>
    </row>
    <row r="61" spans="1:19" x14ac:dyDescent="0.35">
      <c r="B61">
        <v>12</v>
      </c>
      <c r="C61">
        <v>21541</v>
      </c>
      <c r="D61">
        <f t="shared" si="13"/>
        <v>30957.25</v>
      </c>
      <c r="E61">
        <f t="shared" si="3"/>
        <v>15478.625</v>
      </c>
      <c r="F61">
        <v>59</v>
      </c>
      <c r="G61">
        <f t="shared" si="0"/>
        <v>3481</v>
      </c>
      <c r="H61">
        <f t="shared" si="1"/>
        <v>1270919</v>
      </c>
      <c r="I61">
        <f t="shared" si="2"/>
        <v>29318.468541515951</v>
      </c>
      <c r="J61">
        <f t="shared" si="4"/>
        <v>0.52794793759714087</v>
      </c>
      <c r="K61">
        <v>0.97608744526798275</v>
      </c>
      <c r="L61">
        <f t="shared" si="5"/>
        <v>29320.972576898817</v>
      </c>
      <c r="M61">
        <f t="shared" si="6"/>
        <v>-7779.9725768988174</v>
      </c>
      <c r="N61">
        <f t="shared" si="7"/>
        <v>60527973.297297627</v>
      </c>
      <c r="O61">
        <f t="shared" si="8"/>
        <v>0.3611704459820258</v>
      </c>
      <c r="P61">
        <f t="shared" si="9"/>
        <v>15108.491532511131</v>
      </c>
      <c r="Q61">
        <f t="shared" si="10"/>
        <v>6432.5084674888694</v>
      </c>
      <c r="R61">
        <f t="shared" si="11"/>
        <v>41377165.184316002</v>
      </c>
      <c r="S61">
        <f t="shared" si="12"/>
        <v>0.2986169847030718</v>
      </c>
    </row>
    <row r="62" spans="1:19" x14ac:dyDescent="0.35">
      <c r="A62">
        <v>2016</v>
      </c>
      <c r="B62">
        <v>1</v>
      </c>
      <c r="C62">
        <v>24859</v>
      </c>
      <c r="D62">
        <f t="shared" si="13"/>
        <v>28344.75</v>
      </c>
      <c r="E62">
        <f t="shared" si="3"/>
        <v>14172.375</v>
      </c>
      <c r="F62">
        <v>60</v>
      </c>
      <c r="G62">
        <f t="shared" si="0"/>
        <v>3600</v>
      </c>
      <c r="H62">
        <f t="shared" si="1"/>
        <v>1491540</v>
      </c>
      <c r="I62">
        <f t="shared" si="2"/>
        <v>29248.852724861343</v>
      </c>
      <c r="J62">
        <f t="shared" si="4"/>
        <v>0.48454464635987482</v>
      </c>
      <c r="K62">
        <v>0.95654027009550235</v>
      </c>
      <c r="L62">
        <f t="shared" si="5"/>
        <v>29251.293809777795</v>
      </c>
      <c r="M62">
        <f t="shared" si="6"/>
        <v>-4392.2938097777951</v>
      </c>
      <c r="N62">
        <f t="shared" si="7"/>
        <v>19292244.911412336</v>
      </c>
      <c r="O62">
        <f t="shared" si="8"/>
        <v>0.17668827425792652</v>
      </c>
      <c r="P62">
        <f t="shared" si="9"/>
        <v>13556.447410394745</v>
      </c>
      <c r="Q62">
        <f t="shared" si="10"/>
        <v>11302.552589605255</v>
      </c>
      <c r="R62">
        <f t="shared" si="11"/>
        <v>127747695.04079245</v>
      </c>
      <c r="S62">
        <f t="shared" si="12"/>
        <v>0.45466642220544895</v>
      </c>
    </row>
    <row r="63" spans="1:19" x14ac:dyDescent="0.35">
      <c r="B63">
        <v>2</v>
      </c>
      <c r="C63">
        <v>25447</v>
      </c>
      <c r="D63">
        <f t="shared" si="13"/>
        <v>26458.25</v>
      </c>
      <c r="E63">
        <f t="shared" si="3"/>
        <v>13229.125</v>
      </c>
      <c r="F63">
        <v>61</v>
      </c>
      <c r="G63">
        <f t="shared" si="0"/>
        <v>3721</v>
      </c>
      <c r="H63">
        <f t="shared" si="1"/>
        <v>1552267</v>
      </c>
      <c r="I63">
        <f t="shared" si="2"/>
        <v>29179.236908206731</v>
      </c>
      <c r="J63">
        <f t="shared" si="4"/>
        <v>0.45337460474435082</v>
      </c>
      <c r="K63">
        <v>0.98877128589391416</v>
      </c>
      <c r="L63">
        <f t="shared" si="5"/>
        <v>29181.679054097371</v>
      </c>
      <c r="M63">
        <f t="shared" si="6"/>
        <v>-3734.6790540973707</v>
      </c>
      <c r="N63">
        <f t="shared" si="7"/>
        <v>13947827.637113631</v>
      </c>
      <c r="O63">
        <f t="shared" si="8"/>
        <v>0.14676303902610802</v>
      </c>
      <c r="P63">
        <f t="shared" si="9"/>
        <v>13080.578937501326</v>
      </c>
      <c r="Q63">
        <f t="shared" si="10"/>
        <v>12366.421062498674</v>
      </c>
      <c r="R63">
        <f t="shared" si="11"/>
        <v>152928369.89501083</v>
      </c>
      <c r="S63">
        <f t="shared" si="12"/>
        <v>0.48596773932088944</v>
      </c>
    </row>
    <row r="64" spans="1:19" x14ac:dyDescent="0.35">
      <c r="B64">
        <v>3</v>
      </c>
      <c r="C64">
        <v>29995</v>
      </c>
      <c r="D64">
        <f t="shared" si="13"/>
        <v>25363.5</v>
      </c>
      <c r="E64">
        <f t="shared" si="3"/>
        <v>12681.75</v>
      </c>
      <c r="F64">
        <v>62</v>
      </c>
      <c r="G64">
        <f t="shared" si="0"/>
        <v>3844</v>
      </c>
      <c r="H64">
        <f t="shared" si="1"/>
        <v>1859690</v>
      </c>
      <c r="I64">
        <f t="shared" si="2"/>
        <v>29109.621091552122</v>
      </c>
      <c r="J64">
        <f t="shared" si="4"/>
        <v>0.43565493209667233</v>
      </c>
      <c r="K64">
        <v>1.12387322896749</v>
      </c>
      <c r="L64">
        <f t="shared" si="5"/>
        <v>29112.180619713188</v>
      </c>
      <c r="M64">
        <f t="shared" si="6"/>
        <v>882.81938028681179</v>
      </c>
      <c r="N64">
        <f t="shared" si="7"/>
        <v>779370.05820999038</v>
      </c>
      <c r="O64">
        <f t="shared" si="8"/>
        <v>2.9432218045901376E-2</v>
      </c>
      <c r="P64">
        <f t="shared" si="9"/>
        <v>14252.679321458467</v>
      </c>
      <c r="Q64">
        <f t="shared" si="10"/>
        <v>15742.320678541533</v>
      </c>
      <c r="R64">
        <f t="shared" si="11"/>
        <v>247820660.34603634</v>
      </c>
      <c r="S64">
        <f t="shared" si="12"/>
        <v>0.52483149453380673</v>
      </c>
    </row>
    <row r="65" spans="1:19" x14ac:dyDescent="0.35">
      <c r="B65">
        <v>4</v>
      </c>
      <c r="C65">
        <v>31059</v>
      </c>
      <c r="D65">
        <f t="shared" si="13"/>
        <v>25460.5</v>
      </c>
      <c r="E65">
        <f t="shared" si="3"/>
        <v>12730.25</v>
      </c>
      <c r="F65">
        <v>63</v>
      </c>
      <c r="G65">
        <f t="shared" si="0"/>
        <v>3969</v>
      </c>
      <c r="H65">
        <f t="shared" si="1"/>
        <v>1956717</v>
      </c>
      <c r="I65">
        <f t="shared" si="2"/>
        <v>29040.005274897514</v>
      </c>
      <c r="J65">
        <f t="shared" si="4"/>
        <v>0.43836941073162139</v>
      </c>
      <c r="K65">
        <v>0.99808058046878956</v>
      </c>
      <c r="L65">
        <f t="shared" si="5"/>
        <v>29042.441724888715</v>
      </c>
      <c r="M65">
        <f t="shared" si="6"/>
        <v>2016.5582751112852</v>
      </c>
      <c r="N65">
        <f t="shared" si="7"/>
        <v>4066507.2769198017</v>
      </c>
      <c r="O65">
        <f t="shared" si="8"/>
        <v>6.4926696774245313E-2</v>
      </c>
      <c r="P65">
        <f t="shared" si="9"/>
        <v>12705.815309512809</v>
      </c>
      <c r="Q65">
        <f t="shared" si="10"/>
        <v>18353.184690487193</v>
      </c>
      <c r="R65">
        <f t="shared" si="11"/>
        <v>336839388.28313345</v>
      </c>
      <c r="S65">
        <f t="shared" si="12"/>
        <v>0.59091357385901644</v>
      </c>
    </row>
    <row r="66" spans="1:19" x14ac:dyDescent="0.35">
      <c r="B66">
        <v>5</v>
      </c>
      <c r="C66">
        <v>31662</v>
      </c>
      <c r="D66">
        <f t="shared" si="13"/>
        <v>27840</v>
      </c>
      <c r="E66">
        <f t="shared" si="3"/>
        <v>13920</v>
      </c>
      <c r="F66">
        <v>64</v>
      </c>
      <c r="G66">
        <f t="shared" si="0"/>
        <v>4096</v>
      </c>
      <c r="H66">
        <f t="shared" si="1"/>
        <v>2026368</v>
      </c>
      <c r="I66">
        <f t="shared" si="2"/>
        <v>28970.389458242902</v>
      </c>
      <c r="J66">
        <f t="shared" si="4"/>
        <v>0.48049060645401032</v>
      </c>
      <c r="K66">
        <v>0.8785419734796418</v>
      </c>
      <c r="L66">
        <f t="shared" si="5"/>
        <v>28972.748490822836</v>
      </c>
      <c r="M66">
        <f t="shared" si="6"/>
        <v>2689.2515091771638</v>
      </c>
      <c r="N66">
        <f t="shared" si="7"/>
        <v>7232073.6796116531</v>
      </c>
      <c r="O66">
        <f t="shared" si="8"/>
        <v>8.49362487896268E-2</v>
      </c>
      <c r="P66">
        <f t="shared" si="9"/>
        <v>12229.304270836614</v>
      </c>
      <c r="Q66">
        <f t="shared" si="10"/>
        <v>19432.695729163388</v>
      </c>
      <c r="R66">
        <f t="shared" si="11"/>
        <v>377629663.30224496</v>
      </c>
      <c r="S66">
        <f t="shared" si="12"/>
        <v>0.61375452369286176</v>
      </c>
    </row>
    <row r="67" spans="1:19" x14ac:dyDescent="0.35">
      <c r="B67">
        <v>6</v>
      </c>
      <c r="C67">
        <v>31519</v>
      </c>
      <c r="D67">
        <f t="shared" si="13"/>
        <v>29540.75</v>
      </c>
      <c r="E67">
        <f t="shared" si="3"/>
        <v>14770.375</v>
      </c>
      <c r="F67">
        <v>65</v>
      </c>
      <c r="G67">
        <f t="shared" ref="G67:G130" si="14">F67^2</f>
        <v>4225</v>
      </c>
      <c r="H67">
        <f t="shared" ref="H67:H130" si="15">F67*C67</f>
        <v>2048735</v>
      </c>
      <c r="I67">
        <f t="shared" ref="I67:I130" si="16">B$150+B$151*F67</f>
        <v>28900.773641588294</v>
      </c>
      <c r="J67">
        <f t="shared" si="4"/>
        <v>0.51107195894387369</v>
      </c>
      <c r="K67">
        <v>0.8978050071877538</v>
      </c>
      <c r="L67">
        <f t="shared" si="5"/>
        <v>28903.182518554426</v>
      </c>
      <c r="M67">
        <f t="shared" si="6"/>
        <v>2615.8174814455742</v>
      </c>
      <c r="N67">
        <f t="shared" si="7"/>
        <v>6842501.0962362671</v>
      </c>
      <c r="O67">
        <f t="shared" si="8"/>
        <v>8.2991766282102045E-2</v>
      </c>
      <c r="P67">
        <f t="shared" si="9"/>
        <v>13260.916633040819</v>
      </c>
      <c r="Q67">
        <f t="shared" si="10"/>
        <v>18258.083366959181</v>
      </c>
      <c r="R67">
        <f t="shared" si="11"/>
        <v>333357608.23483151</v>
      </c>
      <c r="S67">
        <f t="shared" si="12"/>
        <v>0.57927229185441098</v>
      </c>
    </row>
    <row r="68" spans="1:19" x14ac:dyDescent="0.35">
      <c r="B68">
        <v>7</v>
      </c>
      <c r="C68">
        <v>24718</v>
      </c>
      <c r="D68">
        <f t="shared" si="13"/>
        <v>31058.75</v>
      </c>
      <c r="E68">
        <f t="shared" si="3"/>
        <v>15529.375</v>
      </c>
      <c r="F68">
        <v>66</v>
      </c>
      <c r="G68">
        <f t="shared" si="14"/>
        <v>4356</v>
      </c>
      <c r="H68">
        <f t="shared" si="15"/>
        <v>1631388</v>
      </c>
      <c r="I68">
        <f t="shared" si="16"/>
        <v>28831.157824933682</v>
      </c>
      <c r="J68">
        <f t="shared" si="4"/>
        <v>0.53863168084668211</v>
      </c>
      <c r="K68">
        <v>0.95776764404983616</v>
      </c>
      <c r="L68">
        <f t="shared" si="5"/>
        <v>28833.654224258578</v>
      </c>
      <c r="M68">
        <f t="shared" si="6"/>
        <v>-4115.6542242585783</v>
      </c>
      <c r="N68">
        <f t="shared" si="7"/>
        <v>16938609.69365748</v>
      </c>
      <c r="O68">
        <f t="shared" si="8"/>
        <v>0.1665043379018763</v>
      </c>
      <c r="P68">
        <f t="shared" si="9"/>
        <v>14873.532907316425</v>
      </c>
      <c r="Q68">
        <f t="shared" si="10"/>
        <v>9844.4670926835752</v>
      </c>
      <c r="R68">
        <f t="shared" si="11"/>
        <v>96913532.338929802</v>
      </c>
      <c r="S68">
        <f t="shared" si="12"/>
        <v>0.39827118264760802</v>
      </c>
    </row>
    <row r="69" spans="1:19" x14ac:dyDescent="0.35">
      <c r="B69">
        <v>8</v>
      </c>
      <c r="C69">
        <v>38803</v>
      </c>
      <c r="D69">
        <f t="shared" si="13"/>
        <v>29739.5</v>
      </c>
      <c r="E69">
        <f t="shared" si="3"/>
        <v>14869.75</v>
      </c>
      <c r="F69">
        <v>67</v>
      </c>
      <c r="G69">
        <f t="shared" si="14"/>
        <v>4489</v>
      </c>
      <c r="H69">
        <f t="shared" si="15"/>
        <v>2599801</v>
      </c>
      <c r="I69">
        <f t="shared" si="16"/>
        <v>28761.542008279073</v>
      </c>
      <c r="J69">
        <f t="shared" si="4"/>
        <v>0.51700113977615347</v>
      </c>
      <c r="K69">
        <v>0.99948664132339626</v>
      </c>
      <c r="L69">
        <f t="shared" si="5"/>
        <v>28764.05849606017</v>
      </c>
      <c r="M69">
        <f t="shared" si="6"/>
        <v>10038.94150393983</v>
      </c>
      <c r="N69">
        <f t="shared" si="7"/>
        <v>100780346.51952569</v>
      </c>
      <c r="O69">
        <f t="shared" si="8"/>
        <v>0.25871560198798627</v>
      </c>
      <c r="P69">
        <f t="shared" si="9"/>
        <v>14862.116484818569</v>
      </c>
      <c r="Q69">
        <f t="shared" si="10"/>
        <v>23940.883515181431</v>
      </c>
      <c r="R69">
        <f t="shared" si="11"/>
        <v>573165903.487486</v>
      </c>
      <c r="S69">
        <f t="shared" si="12"/>
        <v>0.61698537523339514</v>
      </c>
    </row>
    <row r="70" spans="1:19" x14ac:dyDescent="0.35">
      <c r="B70">
        <v>9</v>
      </c>
      <c r="C70">
        <v>36994</v>
      </c>
      <c r="D70">
        <f t="shared" si="13"/>
        <v>31675.5</v>
      </c>
      <c r="E70">
        <f t="shared" si="3"/>
        <v>15837.75</v>
      </c>
      <c r="F70">
        <v>68</v>
      </c>
      <c r="G70">
        <f t="shared" si="14"/>
        <v>4624</v>
      </c>
      <c r="H70">
        <f t="shared" si="15"/>
        <v>2515592</v>
      </c>
      <c r="I70">
        <f t="shared" si="16"/>
        <v>28691.926191624465</v>
      </c>
      <c r="J70">
        <f t="shared" si="4"/>
        <v>0.55199326438471175</v>
      </c>
      <c r="K70">
        <v>1.0920083748499654</v>
      </c>
      <c r="L70">
        <f t="shared" si="5"/>
        <v>28694.570193263698</v>
      </c>
      <c r="M70">
        <f t="shared" si="6"/>
        <v>8299.4298067363015</v>
      </c>
      <c r="N70">
        <f t="shared" si="7"/>
        <v>68880535.116942957</v>
      </c>
      <c r="O70">
        <f t="shared" si="8"/>
        <v>0.22434529401352385</v>
      </c>
      <c r="P70">
        <f t="shared" si="9"/>
        <v>17294.955638780037</v>
      </c>
      <c r="Q70">
        <f t="shared" si="10"/>
        <v>19699.044361219963</v>
      </c>
      <c r="R70">
        <f t="shared" si="11"/>
        <v>388052348.74531204</v>
      </c>
      <c r="S70">
        <f t="shared" si="12"/>
        <v>0.53249295456614487</v>
      </c>
    </row>
    <row r="71" spans="1:19" x14ac:dyDescent="0.35">
      <c r="B71">
        <v>10</v>
      </c>
      <c r="C71">
        <v>34116</v>
      </c>
      <c r="D71">
        <f t="shared" ref="D71:D134" si="17">SUM(C67:C70)/4</f>
        <v>33008.5</v>
      </c>
      <c r="E71">
        <f t="shared" si="3"/>
        <v>16504.25</v>
      </c>
      <c r="F71">
        <v>69</v>
      </c>
      <c r="G71">
        <f t="shared" si="14"/>
        <v>4761</v>
      </c>
      <c r="H71">
        <f t="shared" si="15"/>
        <v>2354004</v>
      </c>
      <c r="I71">
        <f t="shared" si="16"/>
        <v>28622.310374969853</v>
      </c>
      <c r="J71">
        <f t="shared" si="4"/>
        <v>0.57662186538347826</v>
      </c>
      <c r="K71">
        <v>1.0854408989415729</v>
      </c>
      <c r="L71">
        <f t="shared" si="5"/>
        <v>28624.972437734177</v>
      </c>
      <c r="M71">
        <f t="shared" si="6"/>
        <v>5491.0275622658228</v>
      </c>
      <c r="N71">
        <f t="shared" si="7"/>
        <v>30151383.689562943</v>
      </c>
      <c r="O71">
        <f t="shared" si="8"/>
        <v>0.16095168138896185</v>
      </c>
      <c r="P71">
        <f t="shared" si="9"/>
        <v>17914.387956356455</v>
      </c>
      <c r="Q71">
        <f t="shared" si="10"/>
        <v>16201.612043643545</v>
      </c>
      <c r="R71">
        <f t="shared" si="11"/>
        <v>262492232.81273556</v>
      </c>
      <c r="S71">
        <f t="shared" si="12"/>
        <v>0.47489776186081445</v>
      </c>
    </row>
    <row r="72" spans="1:19" x14ac:dyDescent="0.35">
      <c r="B72">
        <v>11</v>
      </c>
      <c r="C72">
        <v>40510</v>
      </c>
      <c r="D72">
        <f t="shared" si="17"/>
        <v>33657.75</v>
      </c>
      <c r="E72">
        <f t="shared" ref="E72:E135" si="18">($D71:$D72)/2</f>
        <v>16828.875</v>
      </c>
      <c r="F72">
        <v>70</v>
      </c>
      <c r="G72">
        <f t="shared" si="14"/>
        <v>4900</v>
      </c>
      <c r="H72">
        <f t="shared" si="15"/>
        <v>2835700</v>
      </c>
      <c r="I72">
        <f t="shared" si="16"/>
        <v>28552.694558315245</v>
      </c>
      <c r="J72">
        <f t="shared" ref="J72:J135" si="19">$E72/$I72</f>
        <v>0.58939708704651905</v>
      </c>
      <c r="K72">
        <v>1.0455966494741551</v>
      </c>
      <c r="L72">
        <f t="shared" ref="L72:L135" si="20">$I72+$J72+$K72+1</f>
        <v>28555.329552051764</v>
      </c>
      <c r="M72">
        <f t="shared" ref="M72:M135" si="21">$C72-$L72</f>
        <v>11954.670447948236</v>
      </c>
      <c r="N72">
        <f t="shared" ref="N72:N135" si="22">$M72^2</f>
        <v>142914145.51904687</v>
      </c>
      <c r="O72">
        <f t="shared" ref="O72:O135" si="23">ABS($M72/$C72)</f>
        <v>0.29510418286714973</v>
      </c>
      <c r="P72">
        <f t="shared" ref="P72:P135" si="24">$I72*$J72*$K72*1</f>
        <v>17596.215314419373</v>
      </c>
      <c r="Q72">
        <f t="shared" ref="Q72:Q135" si="25">$C72-P72</f>
        <v>22913.784685580627</v>
      </c>
      <c r="R72">
        <f t="shared" ref="R72:R135" si="26">Q72^2</f>
        <v>525041528.61714929</v>
      </c>
      <c r="S72">
        <f t="shared" ref="S72:S135" si="27">ABS($Q72/$C72)</f>
        <v>0.56563279895286667</v>
      </c>
    </row>
    <row r="73" spans="1:19" x14ac:dyDescent="0.35">
      <c r="B73">
        <v>12</v>
      </c>
      <c r="C73">
        <v>31888</v>
      </c>
      <c r="D73">
        <f t="shared" si="17"/>
        <v>37605.75</v>
      </c>
      <c r="E73">
        <f t="shared" si="18"/>
        <v>18802.875</v>
      </c>
      <c r="F73">
        <v>71</v>
      </c>
      <c r="G73">
        <f t="shared" si="14"/>
        <v>5041</v>
      </c>
      <c r="H73">
        <f t="shared" si="15"/>
        <v>2264048</v>
      </c>
      <c r="I73">
        <f t="shared" si="16"/>
        <v>28483.078741660633</v>
      </c>
      <c r="J73">
        <f t="shared" si="19"/>
        <v>0.66014194499620815</v>
      </c>
      <c r="K73">
        <v>0.97608744526798275</v>
      </c>
      <c r="L73">
        <f t="shared" si="20"/>
        <v>28485.714971050897</v>
      </c>
      <c r="M73">
        <f t="shared" si="21"/>
        <v>3402.2850289491034</v>
      </c>
      <c r="N73">
        <f t="shared" si="22"/>
        <v>11575543.418211201</v>
      </c>
      <c r="O73">
        <f t="shared" si="23"/>
        <v>0.10669483909147966</v>
      </c>
      <c r="P73">
        <f t="shared" si="24"/>
        <v>18353.250222443221</v>
      </c>
      <c r="Q73">
        <f t="shared" si="25"/>
        <v>13534.749777556779</v>
      </c>
      <c r="R73">
        <f t="shared" si="26"/>
        <v>183189451.54107329</v>
      </c>
      <c r="S73">
        <f t="shared" si="27"/>
        <v>0.42444649327511225</v>
      </c>
    </row>
    <row r="74" spans="1:19" x14ac:dyDescent="0.35">
      <c r="A74">
        <v>2017</v>
      </c>
      <c r="B74">
        <v>1</v>
      </c>
      <c r="C74">
        <v>32377</v>
      </c>
      <c r="D74">
        <f t="shared" si="17"/>
        <v>35877</v>
      </c>
      <c r="E74">
        <f t="shared" si="18"/>
        <v>17938.5</v>
      </c>
      <c r="F74">
        <v>72</v>
      </c>
      <c r="G74">
        <f t="shared" si="14"/>
        <v>5184</v>
      </c>
      <c r="H74">
        <f t="shared" si="15"/>
        <v>2331144</v>
      </c>
      <c r="I74">
        <f t="shared" si="16"/>
        <v>28413.462925006024</v>
      </c>
      <c r="J74">
        <f t="shared" si="19"/>
        <v>0.63133804025741425</v>
      </c>
      <c r="K74">
        <v>0.95654027009550235</v>
      </c>
      <c r="L74">
        <f t="shared" si="20"/>
        <v>28416.050803316379</v>
      </c>
      <c r="M74">
        <f t="shared" si="21"/>
        <v>3960.9491966836213</v>
      </c>
      <c r="N74">
        <f t="shared" si="22"/>
        <v>15689118.538708625</v>
      </c>
      <c r="O74">
        <f t="shared" si="23"/>
        <v>0.12233836355078054</v>
      </c>
      <c r="P74">
        <f t="shared" si="24"/>
        <v>17158.897635108169</v>
      </c>
      <c r="Q74">
        <f t="shared" si="25"/>
        <v>15218.102364891831</v>
      </c>
      <c r="R74">
        <f t="shared" si="26"/>
        <v>231590639.58832633</v>
      </c>
      <c r="S74">
        <f t="shared" si="27"/>
        <v>0.47002817941414682</v>
      </c>
    </row>
    <row r="75" spans="1:19" x14ac:dyDescent="0.35">
      <c r="B75">
        <v>2</v>
      </c>
      <c r="C75">
        <v>36147</v>
      </c>
      <c r="D75">
        <f t="shared" si="17"/>
        <v>34722.75</v>
      </c>
      <c r="E75">
        <f t="shared" si="18"/>
        <v>17361.375</v>
      </c>
      <c r="F75">
        <v>73</v>
      </c>
      <c r="G75">
        <f t="shared" si="14"/>
        <v>5329</v>
      </c>
      <c r="H75">
        <f t="shared" si="15"/>
        <v>2638731</v>
      </c>
      <c r="I75">
        <f t="shared" si="16"/>
        <v>28343.847108351416</v>
      </c>
      <c r="J75">
        <f t="shared" si="19"/>
        <v>0.6125271186240816</v>
      </c>
      <c r="K75">
        <v>0.98877128589391416</v>
      </c>
      <c r="L75">
        <f t="shared" si="20"/>
        <v>28346.448406755935</v>
      </c>
      <c r="M75">
        <f t="shared" si="21"/>
        <v>7800.5515932440649</v>
      </c>
      <c r="N75">
        <f t="shared" si="22"/>
        <v>60848605.158862516</v>
      </c>
      <c r="O75">
        <f t="shared" si="23"/>
        <v>0.21580080209267891</v>
      </c>
      <c r="P75">
        <f t="shared" si="24"/>
        <v>17166.429083636453</v>
      </c>
      <c r="Q75">
        <f t="shared" si="25"/>
        <v>18980.570916363547</v>
      </c>
      <c r="R75">
        <f t="shared" si="26"/>
        <v>360262072.31110573</v>
      </c>
      <c r="S75">
        <f t="shared" si="27"/>
        <v>0.52509394739158288</v>
      </c>
    </row>
    <row r="76" spans="1:19" x14ac:dyDescent="0.35">
      <c r="B76">
        <v>3</v>
      </c>
      <c r="C76">
        <v>38656</v>
      </c>
      <c r="D76">
        <f t="shared" si="17"/>
        <v>35230.5</v>
      </c>
      <c r="E76">
        <f t="shared" si="18"/>
        <v>17615.25</v>
      </c>
      <c r="F76">
        <v>74</v>
      </c>
      <c r="G76">
        <f t="shared" si="14"/>
        <v>5476</v>
      </c>
      <c r="H76">
        <f t="shared" si="15"/>
        <v>2860544</v>
      </c>
      <c r="I76">
        <f t="shared" si="16"/>
        <v>28274.231291696808</v>
      </c>
      <c r="J76">
        <f t="shared" si="19"/>
        <v>0.62301428527865965</v>
      </c>
      <c r="K76">
        <v>1.12387322896749</v>
      </c>
      <c r="L76">
        <f t="shared" si="20"/>
        <v>28276.978179211055</v>
      </c>
      <c r="M76">
        <f t="shared" si="21"/>
        <v>10379.021820788945</v>
      </c>
      <c r="N76">
        <f t="shared" si="22"/>
        <v>107724093.95641306</v>
      </c>
      <c r="O76">
        <f t="shared" si="23"/>
        <v>0.26849704627454846</v>
      </c>
      <c r="P76">
        <f t="shared" si="24"/>
        <v>19797.307896569579</v>
      </c>
      <c r="Q76">
        <f t="shared" si="25"/>
        <v>18858.692103430421</v>
      </c>
      <c r="R76">
        <f t="shared" si="26"/>
        <v>355650267.85198891</v>
      </c>
      <c r="S76">
        <f t="shared" si="27"/>
        <v>0.48785937767566279</v>
      </c>
    </row>
    <row r="77" spans="1:19" x14ac:dyDescent="0.35">
      <c r="B77">
        <v>4</v>
      </c>
      <c r="C77">
        <v>33328</v>
      </c>
      <c r="D77">
        <f t="shared" si="17"/>
        <v>34767</v>
      </c>
      <c r="E77">
        <f t="shared" si="18"/>
        <v>17383.5</v>
      </c>
      <c r="F77">
        <v>75</v>
      </c>
      <c r="G77">
        <f t="shared" si="14"/>
        <v>5625</v>
      </c>
      <c r="H77">
        <f t="shared" si="15"/>
        <v>2499600</v>
      </c>
      <c r="I77">
        <f t="shared" si="16"/>
        <v>28204.615475042196</v>
      </c>
      <c r="J77">
        <f t="shared" si="19"/>
        <v>0.61633529502936768</v>
      </c>
      <c r="K77">
        <v>0.99808058046878956</v>
      </c>
      <c r="L77">
        <f t="shared" si="20"/>
        <v>28207.229890917693</v>
      </c>
      <c r="M77">
        <f t="shared" si="21"/>
        <v>5120.7701090823066</v>
      </c>
      <c r="N77">
        <f t="shared" si="22"/>
        <v>26222286.510070819</v>
      </c>
      <c r="O77">
        <f t="shared" si="23"/>
        <v>0.15364768690237357</v>
      </c>
      <c r="P77">
        <f t="shared" si="24"/>
        <v>17350.133770579203</v>
      </c>
      <c r="Q77">
        <f t="shared" si="25"/>
        <v>15977.866229420797</v>
      </c>
      <c r="R77">
        <f t="shared" si="26"/>
        <v>255292209.24526554</v>
      </c>
      <c r="S77">
        <f t="shared" si="27"/>
        <v>0.47941269291349009</v>
      </c>
    </row>
    <row r="78" spans="1:19" x14ac:dyDescent="0.35">
      <c r="B78">
        <v>5</v>
      </c>
      <c r="C78">
        <v>32806</v>
      </c>
      <c r="D78">
        <f t="shared" si="17"/>
        <v>35127</v>
      </c>
      <c r="E78">
        <f t="shared" si="18"/>
        <v>17563.5</v>
      </c>
      <c r="F78">
        <v>76</v>
      </c>
      <c r="G78">
        <f t="shared" si="14"/>
        <v>5776</v>
      </c>
      <c r="H78">
        <f t="shared" si="15"/>
        <v>2493256</v>
      </c>
      <c r="I78">
        <f t="shared" si="16"/>
        <v>28134.999658387584</v>
      </c>
      <c r="J78">
        <f t="shared" si="19"/>
        <v>0.62425804916489425</v>
      </c>
      <c r="K78">
        <v>0.8785419734796418</v>
      </c>
      <c r="L78">
        <f t="shared" si="20"/>
        <v>28137.502458410228</v>
      </c>
      <c r="M78">
        <f t="shared" si="21"/>
        <v>4668.4975415897716</v>
      </c>
      <c r="N78">
        <f t="shared" si="22"/>
        <v>21794869.295829739</v>
      </c>
      <c r="O78">
        <f t="shared" si="23"/>
        <v>0.14230621049776784</v>
      </c>
      <c r="P78">
        <f t="shared" si="24"/>
        <v>15430.271951209688</v>
      </c>
      <c r="Q78">
        <f t="shared" si="25"/>
        <v>17375.728048790312</v>
      </c>
      <c r="R78">
        <f t="shared" si="26"/>
        <v>301915925.22551835</v>
      </c>
      <c r="S78">
        <f t="shared" si="27"/>
        <v>0.52965091900232619</v>
      </c>
    </row>
    <row r="79" spans="1:19" x14ac:dyDescent="0.35">
      <c r="B79">
        <v>6</v>
      </c>
      <c r="C79">
        <v>21974</v>
      </c>
      <c r="D79">
        <f t="shared" si="17"/>
        <v>35234.25</v>
      </c>
      <c r="E79">
        <f t="shared" si="18"/>
        <v>17617.125</v>
      </c>
      <c r="F79">
        <v>77</v>
      </c>
      <c r="G79">
        <f t="shared" si="14"/>
        <v>5929</v>
      </c>
      <c r="H79">
        <f t="shared" si="15"/>
        <v>1691998</v>
      </c>
      <c r="I79">
        <f t="shared" si="16"/>
        <v>28065.383841732975</v>
      </c>
      <c r="J79">
        <f t="shared" si="19"/>
        <v>0.62771722985678513</v>
      </c>
      <c r="K79">
        <v>0.8978050071877538</v>
      </c>
      <c r="L79">
        <f t="shared" si="20"/>
        <v>28067.909363970022</v>
      </c>
      <c r="M79">
        <f t="shared" si="21"/>
        <v>-6093.9093639700222</v>
      </c>
      <c r="N79">
        <f t="shared" si="22"/>
        <v>37135731.336281523</v>
      </c>
      <c r="O79">
        <f t="shared" si="23"/>
        <v>0.27732362628424601</v>
      </c>
      <c r="P79">
        <f t="shared" si="24"/>
        <v>15816.743037252558</v>
      </c>
      <c r="Q79">
        <f t="shared" si="25"/>
        <v>6157.2569627474422</v>
      </c>
      <c r="R79">
        <f t="shared" si="26"/>
        <v>37911813.30530186</v>
      </c>
      <c r="S79">
        <f t="shared" si="27"/>
        <v>0.28020646958894341</v>
      </c>
    </row>
    <row r="80" spans="1:19" x14ac:dyDescent="0.35">
      <c r="B80">
        <v>7</v>
      </c>
      <c r="C80">
        <v>31621</v>
      </c>
      <c r="D80">
        <f t="shared" si="17"/>
        <v>31691</v>
      </c>
      <c r="E80">
        <f t="shared" si="18"/>
        <v>15845.5</v>
      </c>
      <c r="F80">
        <v>78</v>
      </c>
      <c r="G80">
        <f t="shared" si="14"/>
        <v>6084</v>
      </c>
      <c r="H80">
        <f t="shared" si="15"/>
        <v>2466438</v>
      </c>
      <c r="I80">
        <f t="shared" si="16"/>
        <v>27995.768025078367</v>
      </c>
      <c r="J80">
        <f t="shared" si="19"/>
        <v>0.56599626007065562</v>
      </c>
      <c r="K80">
        <v>0.95776764404983616</v>
      </c>
      <c r="L80">
        <f t="shared" si="20"/>
        <v>27998.291788982486</v>
      </c>
      <c r="M80">
        <f t="shared" si="21"/>
        <v>3622.7082110175143</v>
      </c>
      <c r="N80">
        <f t="shared" si="22"/>
        <v>13124014.782173719</v>
      </c>
      <c r="O80">
        <f t="shared" si="23"/>
        <v>0.11456652892120787</v>
      </c>
      <c r="P80">
        <f t="shared" si="24"/>
        <v>15176.307203791679</v>
      </c>
      <c r="Q80">
        <f t="shared" si="25"/>
        <v>16444.692796208321</v>
      </c>
      <c r="R80">
        <f t="shared" si="26"/>
        <v>270427921.16166586</v>
      </c>
      <c r="S80">
        <f t="shared" si="27"/>
        <v>0.5200560638881857</v>
      </c>
    </row>
    <row r="81" spans="1:19" x14ac:dyDescent="0.35">
      <c r="B81">
        <v>8</v>
      </c>
      <c r="C81">
        <v>34690</v>
      </c>
      <c r="D81">
        <f t="shared" si="17"/>
        <v>29932.25</v>
      </c>
      <c r="E81">
        <f t="shared" si="18"/>
        <v>14966.125</v>
      </c>
      <c r="F81">
        <v>79</v>
      </c>
      <c r="G81">
        <f t="shared" si="14"/>
        <v>6241</v>
      </c>
      <c r="H81">
        <f t="shared" si="15"/>
        <v>2740510</v>
      </c>
      <c r="I81">
        <f t="shared" si="16"/>
        <v>27926.152208423759</v>
      </c>
      <c r="J81">
        <f t="shared" si="19"/>
        <v>0.53591790549238494</v>
      </c>
      <c r="K81">
        <v>0.99948664132339626</v>
      </c>
      <c r="L81">
        <f t="shared" si="20"/>
        <v>27928.687612970574</v>
      </c>
      <c r="M81">
        <f t="shared" si="21"/>
        <v>6761.3123870294257</v>
      </c>
      <c r="N81">
        <f t="shared" si="22"/>
        <v>45715345.194997549</v>
      </c>
      <c r="O81">
        <f t="shared" si="23"/>
        <v>0.19490667013633398</v>
      </c>
      <c r="P81">
        <f t="shared" si="24"/>
        <v>14958.442009876115</v>
      </c>
      <c r="Q81">
        <f t="shared" si="25"/>
        <v>19731.557990123885</v>
      </c>
      <c r="R81">
        <f t="shared" si="26"/>
        <v>389334380.71762174</v>
      </c>
      <c r="S81">
        <f t="shared" si="27"/>
        <v>0.56879671346566407</v>
      </c>
    </row>
    <row r="82" spans="1:19" x14ac:dyDescent="0.35">
      <c r="B82">
        <v>9</v>
      </c>
      <c r="C82">
        <v>27251</v>
      </c>
      <c r="D82">
        <f t="shared" si="17"/>
        <v>30272.75</v>
      </c>
      <c r="E82">
        <f t="shared" si="18"/>
        <v>15136.375</v>
      </c>
      <c r="F82">
        <v>80</v>
      </c>
      <c r="G82">
        <f t="shared" si="14"/>
        <v>6400</v>
      </c>
      <c r="H82">
        <f t="shared" si="15"/>
        <v>2180080</v>
      </c>
      <c r="I82">
        <f t="shared" si="16"/>
        <v>27856.536391769147</v>
      </c>
      <c r="J82">
        <f t="shared" si="19"/>
        <v>0.54336888072245726</v>
      </c>
      <c r="K82">
        <v>1.0920083748499654</v>
      </c>
      <c r="L82">
        <f t="shared" si="20"/>
        <v>27859.171769024717</v>
      </c>
      <c r="M82">
        <f t="shared" si="21"/>
        <v>-608.17176902471692</v>
      </c>
      <c r="N82">
        <f t="shared" si="22"/>
        <v>369872.90063865361</v>
      </c>
      <c r="O82">
        <f t="shared" si="23"/>
        <v>2.2317411068390771E-2</v>
      </c>
      <c r="P82">
        <f t="shared" si="24"/>
        <v>16529.048264869645</v>
      </c>
      <c r="Q82">
        <f t="shared" si="25"/>
        <v>10721.951735130355</v>
      </c>
      <c r="R82">
        <f t="shared" si="26"/>
        <v>114960249.01046483</v>
      </c>
      <c r="S82">
        <f t="shared" si="27"/>
        <v>0.39345168012661386</v>
      </c>
    </row>
    <row r="83" spans="1:19" x14ac:dyDescent="0.35">
      <c r="B83">
        <v>10</v>
      </c>
      <c r="C83">
        <v>29979</v>
      </c>
      <c r="D83">
        <f t="shared" si="17"/>
        <v>28884</v>
      </c>
      <c r="E83">
        <f t="shared" si="18"/>
        <v>14442</v>
      </c>
      <c r="F83">
        <v>81</v>
      </c>
      <c r="G83">
        <f t="shared" si="14"/>
        <v>6561</v>
      </c>
      <c r="H83">
        <f t="shared" si="15"/>
        <v>2428299</v>
      </c>
      <c r="I83">
        <f t="shared" si="16"/>
        <v>27786.920575114538</v>
      </c>
      <c r="J83">
        <f t="shared" si="19"/>
        <v>0.51974093210364569</v>
      </c>
      <c r="K83">
        <v>1.0854408989415729</v>
      </c>
      <c r="L83">
        <f t="shared" si="20"/>
        <v>27789.525756945583</v>
      </c>
      <c r="M83">
        <f t="shared" si="21"/>
        <v>2189.4742430544175</v>
      </c>
      <c r="N83">
        <f t="shared" si="22"/>
        <v>4793797.460998714</v>
      </c>
      <c r="O83">
        <f t="shared" si="23"/>
        <v>7.3033598287281676E-2</v>
      </c>
      <c r="P83">
        <f t="shared" si="24"/>
        <v>15675.937462514195</v>
      </c>
      <c r="Q83">
        <f t="shared" si="25"/>
        <v>14303.062537485805</v>
      </c>
      <c r="R83">
        <f t="shared" si="26"/>
        <v>204577597.95122987</v>
      </c>
      <c r="S83">
        <f t="shared" si="27"/>
        <v>0.47710272315573582</v>
      </c>
    </row>
    <row r="84" spans="1:19" x14ac:dyDescent="0.35">
      <c r="B84">
        <v>11</v>
      </c>
      <c r="C84">
        <v>28797</v>
      </c>
      <c r="D84">
        <f t="shared" si="17"/>
        <v>30885.25</v>
      </c>
      <c r="E84">
        <f t="shared" si="18"/>
        <v>15442.625</v>
      </c>
      <c r="F84">
        <v>82</v>
      </c>
      <c r="G84">
        <f t="shared" si="14"/>
        <v>6724</v>
      </c>
      <c r="H84">
        <f t="shared" si="15"/>
        <v>2361354</v>
      </c>
      <c r="I84">
        <f t="shared" si="16"/>
        <v>27717.304758459926</v>
      </c>
      <c r="J84">
        <f t="shared" si="19"/>
        <v>0.55714742593385003</v>
      </c>
      <c r="K84">
        <v>1.0455966494741551</v>
      </c>
      <c r="L84">
        <f t="shared" si="20"/>
        <v>27719.907502535334</v>
      </c>
      <c r="M84">
        <f t="shared" si="21"/>
        <v>1077.0924974646659</v>
      </c>
      <c r="N84">
        <f t="shared" si="22"/>
        <v>1160128.2480946714</v>
      </c>
      <c r="O84">
        <f t="shared" si="23"/>
        <v>3.740294119056381E-2</v>
      </c>
      <c r="P84">
        <f t="shared" si="24"/>
        <v>16146.756959085824</v>
      </c>
      <c r="Q84">
        <f t="shared" si="25"/>
        <v>12650.243040914176</v>
      </c>
      <c r="R84">
        <f t="shared" si="26"/>
        <v>160028648.99419755</v>
      </c>
      <c r="S84">
        <f t="shared" si="27"/>
        <v>0.43929030943897546</v>
      </c>
    </row>
    <row r="85" spans="1:19" x14ac:dyDescent="0.35">
      <c r="B85">
        <v>12</v>
      </c>
      <c r="C85">
        <v>23706</v>
      </c>
      <c r="D85">
        <f t="shared" si="17"/>
        <v>30179.25</v>
      </c>
      <c r="E85">
        <f t="shared" si="18"/>
        <v>15089.625</v>
      </c>
      <c r="F85">
        <v>83</v>
      </c>
      <c r="G85">
        <f t="shared" si="14"/>
        <v>6889</v>
      </c>
      <c r="H85">
        <f t="shared" si="15"/>
        <v>1967598</v>
      </c>
      <c r="I85">
        <f t="shared" si="16"/>
        <v>27647.688941805318</v>
      </c>
      <c r="J85">
        <f t="shared" si="19"/>
        <v>0.54578250759988078</v>
      </c>
      <c r="K85">
        <v>0.97608744526798275</v>
      </c>
      <c r="L85">
        <f t="shared" si="20"/>
        <v>27650.210811758188</v>
      </c>
      <c r="M85">
        <f t="shared" si="21"/>
        <v>-3944.2108117581884</v>
      </c>
      <c r="N85">
        <f t="shared" si="22"/>
        <v>15556798.927590188</v>
      </c>
      <c r="O85">
        <f t="shared" si="23"/>
        <v>0.16638027553185641</v>
      </c>
      <c r="P85">
        <f t="shared" si="24"/>
        <v>14728.793516301885</v>
      </c>
      <c r="Q85">
        <f t="shared" si="25"/>
        <v>8977.2064836981153</v>
      </c>
      <c r="R85">
        <f t="shared" si="26"/>
        <v>80590236.250951484</v>
      </c>
      <c r="S85">
        <f t="shared" si="27"/>
        <v>0.37868921301350356</v>
      </c>
    </row>
    <row r="86" spans="1:19" x14ac:dyDescent="0.35">
      <c r="A86">
        <v>2018</v>
      </c>
      <c r="B86">
        <v>1</v>
      </c>
      <c r="C86">
        <v>25405</v>
      </c>
      <c r="D86">
        <f t="shared" si="17"/>
        <v>27433.25</v>
      </c>
      <c r="E86">
        <f t="shared" si="18"/>
        <v>13716.625</v>
      </c>
      <c r="F86">
        <v>84</v>
      </c>
      <c r="G86">
        <f t="shared" si="14"/>
        <v>7056</v>
      </c>
      <c r="H86">
        <f t="shared" si="15"/>
        <v>2134020</v>
      </c>
      <c r="I86">
        <f t="shared" si="16"/>
        <v>27578.07312515071</v>
      </c>
      <c r="J86">
        <f t="shared" si="19"/>
        <v>0.49737430667303162</v>
      </c>
      <c r="K86">
        <v>0.95654027009550235</v>
      </c>
      <c r="L86">
        <f t="shared" si="20"/>
        <v>27580.52703972748</v>
      </c>
      <c r="M86">
        <f t="shared" si="21"/>
        <v>-2175.5270397274799</v>
      </c>
      <c r="N86">
        <f t="shared" si="22"/>
        <v>4732917.900585412</v>
      </c>
      <c r="O86">
        <f t="shared" si="23"/>
        <v>8.563381380545089E-2</v>
      </c>
      <c r="P86">
        <f t="shared" si="24"/>
        <v>13120.50418229872</v>
      </c>
      <c r="Q86">
        <f t="shared" si="25"/>
        <v>12284.49581770128</v>
      </c>
      <c r="R86">
        <f t="shared" si="26"/>
        <v>150908837.49512023</v>
      </c>
      <c r="S86">
        <f t="shared" si="27"/>
        <v>0.48354638133049715</v>
      </c>
    </row>
    <row r="87" spans="1:19" x14ac:dyDescent="0.35">
      <c r="B87">
        <v>2</v>
      </c>
      <c r="C87">
        <v>27665</v>
      </c>
      <c r="D87">
        <f t="shared" si="17"/>
        <v>26971.75</v>
      </c>
      <c r="E87">
        <f t="shared" si="18"/>
        <v>13485.875</v>
      </c>
      <c r="F87">
        <v>85</v>
      </c>
      <c r="G87">
        <f t="shared" si="14"/>
        <v>7225</v>
      </c>
      <c r="H87">
        <f t="shared" si="15"/>
        <v>2351525</v>
      </c>
      <c r="I87">
        <f t="shared" si="16"/>
        <v>27508.457308496098</v>
      </c>
      <c r="J87">
        <f t="shared" si="19"/>
        <v>0.49024468543478927</v>
      </c>
      <c r="K87">
        <v>0.98877128589391416</v>
      </c>
      <c r="L87">
        <f t="shared" si="20"/>
        <v>27510.936324467428</v>
      </c>
      <c r="M87">
        <f t="shared" si="21"/>
        <v>154.06367553257223</v>
      </c>
      <c r="N87">
        <f t="shared" si="22"/>
        <v>23735.616118605696</v>
      </c>
      <c r="O87">
        <f t="shared" si="23"/>
        <v>5.5689020615424627E-3</v>
      </c>
      <c r="P87">
        <f t="shared" si="24"/>
        <v>13334.445965154589</v>
      </c>
      <c r="Q87">
        <f t="shared" si="25"/>
        <v>14330.554034845411</v>
      </c>
      <c r="R87">
        <f t="shared" si="26"/>
        <v>205364778.94562408</v>
      </c>
      <c r="S87">
        <f t="shared" si="27"/>
        <v>0.51800303758703814</v>
      </c>
    </row>
    <row r="88" spans="1:19" x14ac:dyDescent="0.35">
      <c r="B88">
        <v>3</v>
      </c>
      <c r="C88">
        <v>31424</v>
      </c>
      <c r="D88">
        <f t="shared" si="17"/>
        <v>26393.25</v>
      </c>
      <c r="E88">
        <f t="shared" si="18"/>
        <v>13196.625</v>
      </c>
      <c r="F88">
        <v>86</v>
      </c>
      <c r="G88">
        <f t="shared" si="14"/>
        <v>7396</v>
      </c>
      <c r="H88">
        <f t="shared" si="15"/>
        <v>2702464</v>
      </c>
      <c r="I88">
        <f t="shared" si="16"/>
        <v>27438.841491841489</v>
      </c>
      <c r="J88">
        <f t="shared" si="19"/>
        <v>0.48094687248088847</v>
      </c>
      <c r="K88">
        <v>1.12387322896749</v>
      </c>
      <c r="L88">
        <f t="shared" si="20"/>
        <v>27441.446311942938</v>
      </c>
      <c r="M88">
        <f t="shared" si="21"/>
        <v>3982.5536880570617</v>
      </c>
      <c r="N88">
        <f t="shared" si="22"/>
        <v>15860733.878256904</v>
      </c>
      <c r="O88">
        <f t="shared" si="23"/>
        <v>0.12673605168206026</v>
      </c>
      <c r="P88">
        <f t="shared" si="24"/>
        <v>14831.333550223102</v>
      </c>
      <c r="Q88">
        <f t="shared" si="25"/>
        <v>16592.666449776898</v>
      </c>
      <c r="R88">
        <f t="shared" si="26"/>
        <v>275316579.91355187</v>
      </c>
      <c r="S88">
        <f t="shared" si="27"/>
        <v>0.52802528162477402</v>
      </c>
    </row>
    <row r="89" spans="1:19" x14ac:dyDescent="0.35">
      <c r="B89">
        <v>4</v>
      </c>
      <c r="C89">
        <v>29360</v>
      </c>
      <c r="D89">
        <f t="shared" si="17"/>
        <v>27050</v>
      </c>
      <c r="E89">
        <f t="shared" si="18"/>
        <v>13525</v>
      </c>
      <c r="F89">
        <v>87</v>
      </c>
      <c r="G89">
        <f t="shared" si="14"/>
        <v>7569</v>
      </c>
      <c r="H89">
        <f t="shared" si="15"/>
        <v>2554320</v>
      </c>
      <c r="I89">
        <f t="shared" si="16"/>
        <v>27369.225675186877</v>
      </c>
      <c r="J89">
        <f t="shared" si="19"/>
        <v>0.49416816392660518</v>
      </c>
      <c r="K89">
        <v>0.99808058046878956</v>
      </c>
      <c r="L89">
        <f t="shared" si="20"/>
        <v>27371.717923931275</v>
      </c>
      <c r="M89">
        <f t="shared" si="21"/>
        <v>1988.2820760687246</v>
      </c>
      <c r="N89">
        <f t="shared" si="22"/>
        <v>3953265.6140161576</v>
      </c>
      <c r="O89">
        <f t="shared" si="23"/>
        <v>6.7720779157654107E-2</v>
      </c>
      <c r="P89">
        <f t="shared" si="24"/>
        <v>13499.03985084038</v>
      </c>
      <c r="Q89">
        <f t="shared" si="25"/>
        <v>15860.96014915962</v>
      </c>
      <c r="R89">
        <f t="shared" si="26"/>
        <v>251570056.85322958</v>
      </c>
      <c r="S89">
        <f t="shared" si="27"/>
        <v>0.54022343832287534</v>
      </c>
    </row>
    <row r="90" spans="1:19" x14ac:dyDescent="0.35">
      <c r="B90">
        <v>5</v>
      </c>
      <c r="C90">
        <v>28950</v>
      </c>
      <c r="D90">
        <f t="shared" si="17"/>
        <v>28463.5</v>
      </c>
      <c r="E90">
        <f t="shared" si="18"/>
        <v>14231.75</v>
      </c>
      <c r="F90">
        <v>88</v>
      </c>
      <c r="G90">
        <f t="shared" si="14"/>
        <v>7744</v>
      </c>
      <c r="H90">
        <f t="shared" si="15"/>
        <v>2547600</v>
      </c>
      <c r="I90">
        <f t="shared" si="16"/>
        <v>27299.609858532269</v>
      </c>
      <c r="J90">
        <f t="shared" si="19"/>
        <v>0.52131697389631315</v>
      </c>
      <c r="K90">
        <v>0.8785419734796418</v>
      </c>
      <c r="L90">
        <f t="shared" si="20"/>
        <v>27302.009717479646</v>
      </c>
      <c r="M90">
        <f t="shared" si="21"/>
        <v>1647.9902825203535</v>
      </c>
      <c r="N90">
        <f t="shared" si="22"/>
        <v>2715871.9712815145</v>
      </c>
      <c r="O90">
        <f t="shared" si="23"/>
        <v>5.6925398359943126E-2</v>
      </c>
      <c r="P90">
        <f t="shared" si="24"/>
        <v>12503.189731068893</v>
      </c>
      <c r="Q90">
        <f t="shared" si="25"/>
        <v>16446.810268931105</v>
      </c>
      <c r="R90">
        <f t="shared" si="26"/>
        <v>270497568.02221763</v>
      </c>
      <c r="S90">
        <f t="shared" si="27"/>
        <v>0.56811089011851834</v>
      </c>
    </row>
    <row r="91" spans="1:19" x14ac:dyDescent="0.35">
      <c r="B91">
        <v>6</v>
      </c>
      <c r="C91">
        <v>18642</v>
      </c>
      <c r="D91">
        <f t="shared" si="17"/>
        <v>29349.75</v>
      </c>
      <c r="E91">
        <f t="shared" si="18"/>
        <v>14674.875</v>
      </c>
      <c r="F91">
        <v>89</v>
      </c>
      <c r="G91">
        <f t="shared" si="14"/>
        <v>7921</v>
      </c>
      <c r="H91">
        <f t="shared" si="15"/>
        <v>1659138</v>
      </c>
      <c r="I91">
        <f t="shared" si="16"/>
        <v>27229.99404187766</v>
      </c>
      <c r="J91">
        <f t="shared" si="19"/>
        <v>0.53892318071870149</v>
      </c>
      <c r="K91">
        <v>0.8978050071877538</v>
      </c>
      <c r="L91">
        <f t="shared" si="20"/>
        <v>27232.43077006557</v>
      </c>
      <c r="M91">
        <f t="shared" si="21"/>
        <v>-8590.43077006557</v>
      </c>
      <c r="N91">
        <f t="shared" si="22"/>
        <v>73795500.815289348</v>
      </c>
      <c r="O91">
        <f t="shared" si="23"/>
        <v>0.46081057665838271</v>
      </c>
      <c r="P91">
        <f t="shared" si="24"/>
        <v>13175.176254854388</v>
      </c>
      <c r="Q91">
        <f t="shared" si="25"/>
        <v>5466.8237451456116</v>
      </c>
      <c r="R91">
        <f t="shared" si="26"/>
        <v>29886161.860487889</v>
      </c>
      <c r="S91">
        <f t="shared" si="27"/>
        <v>0.29325307076202184</v>
      </c>
    </row>
    <row r="92" spans="1:19" x14ac:dyDescent="0.35">
      <c r="B92">
        <v>7</v>
      </c>
      <c r="C92">
        <v>34984</v>
      </c>
      <c r="D92">
        <f t="shared" si="17"/>
        <v>27094</v>
      </c>
      <c r="E92">
        <f t="shared" si="18"/>
        <v>13547</v>
      </c>
      <c r="F92">
        <v>90</v>
      </c>
      <c r="G92">
        <f t="shared" si="14"/>
        <v>8100</v>
      </c>
      <c r="H92">
        <f t="shared" si="15"/>
        <v>3148560</v>
      </c>
      <c r="I92">
        <f t="shared" si="16"/>
        <v>27160.378225223049</v>
      </c>
      <c r="J92">
        <f t="shared" si="19"/>
        <v>0.49877803201647969</v>
      </c>
      <c r="K92">
        <v>0.95776764404983616</v>
      </c>
      <c r="L92">
        <f t="shared" si="20"/>
        <v>27162.834770899113</v>
      </c>
      <c r="M92">
        <f t="shared" si="21"/>
        <v>7821.1652291008868</v>
      </c>
      <c r="N92">
        <f t="shared" si="22"/>
        <v>61170625.540896729</v>
      </c>
      <c r="O92">
        <f t="shared" si="23"/>
        <v>0.22356406440375276</v>
      </c>
      <c r="P92">
        <f t="shared" si="24"/>
        <v>12974.87827394313</v>
      </c>
      <c r="Q92">
        <f t="shared" si="25"/>
        <v>22009.12172605687</v>
      </c>
      <c r="R92">
        <f t="shared" si="26"/>
        <v>484401439.15238851</v>
      </c>
      <c r="S92">
        <f t="shared" si="27"/>
        <v>0.62911964686876487</v>
      </c>
    </row>
    <row r="93" spans="1:19" x14ac:dyDescent="0.35">
      <c r="B93">
        <v>8</v>
      </c>
      <c r="C93">
        <v>31149</v>
      </c>
      <c r="D93">
        <f t="shared" si="17"/>
        <v>27984</v>
      </c>
      <c r="E93">
        <f t="shared" si="18"/>
        <v>13992</v>
      </c>
      <c r="F93">
        <v>91</v>
      </c>
      <c r="G93">
        <f t="shared" si="14"/>
        <v>8281</v>
      </c>
      <c r="H93">
        <f t="shared" si="15"/>
        <v>2834559</v>
      </c>
      <c r="I93">
        <f t="shared" si="16"/>
        <v>27090.76240856844</v>
      </c>
      <c r="J93">
        <f t="shared" si="19"/>
        <v>0.51648601796361848</v>
      </c>
      <c r="K93">
        <v>0.99948664132339626</v>
      </c>
      <c r="L93">
        <f t="shared" si="20"/>
        <v>27093.278381227727</v>
      </c>
      <c r="M93">
        <f t="shared" si="21"/>
        <v>4055.7216187722734</v>
      </c>
      <c r="N93">
        <f t="shared" si="22"/>
        <v>16448877.848976789</v>
      </c>
      <c r="O93">
        <f t="shared" si="23"/>
        <v>0.13020391084054941</v>
      </c>
      <c r="P93">
        <f t="shared" si="24"/>
        <v>13984.81708539696</v>
      </c>
      <c r="Q93">
        <f t="shared" si="25"/>
        <v>17164.18291460304</v>
      </c>
      <c r="R93">
        <f t="shared" si="26"/>
        <v>294609175.12595087</v>
      </c>
      <c r="S93">
        <f t="shared" si="27"/>
        <v>0.55103479773357222</v>
      </c>
    </row>
    <row r="94" spans="1:19" x14ac:dyDescent="0.35">
      <c r="B94">
        <v>9</v>
      </c>
      <c r="C94">
        <v>29821</v>
      </c>
      <c r="D94">
        <f t="shared" si="17"/>
        <v>28431.25</v>
      </c>
      <c r="E94">
        <f t="shared" si="18"/>
        <v>14215.625</v>
      </c>
      <c r="F94">
        <v>92</v>
      </c>
      <c r="G94">
        <f t="shared" si="14"/>
        <v>8464</v>
      </c>
      <c r="H94">
        <f t="shared" si="15"/>
        <v>2743532</v>
      </c>
      <c r="I94">
        <f t="shared" si="16"/>
        <v>27021.146591913828</v>
      </c>
      <c r="J94">
        <f t="shared" si="19"/>
        <v>0.5260925901735819</v>
      </c>
      <c r="K94">
        <v>1.0920083748499654</v>
      </c>
      <c r="L94">
        <f t="shared" si="20"/>
        <v>27023.764692878853</v>
      </c>
      <c r="M94">
        <f t="shared" si="21"/>
        <v>2797.2353071211473</v>
      </c>
      <c r="N94">
        <f t="shared" si="22"/>
        <v>7824525.3634051392</v>
      </c>
      <c r="O94">
        <f t="shared" si="23"/>
        <v>9.3800855340905653E-2</v>
      </c>
      <c r="P94">
        <f t="shared" si="24"/>
        <v>15523.581553726539</v>
      </c>
      <c r="Q94">
        <f t="shared" si="25"/>
        <v>14297.418446273461</v>
      </c>
      <c r="R94">
        <f t="shared" si="26"/>
        <v>204416174.22784063</v>
      </c>
      <c r="S94">
        <f t="shared" si="27"/>
        <v>0.47944128118686363</v>
      </c>
    </row>
    <row r="95" spans="1:19" x14ac:dyDescent="0.35">
      <c r="B95">
        <v>10</v>
      </c>
      <c r="C95">
        <v>36119</v>
      </c>
      <c r="D95">
        <f t="shared" si="17"/>
        <v>28649</v>
      </c>
      <c r="E95">
        <f t="shared" si="18"/>
        <v>14324.5</v>
      </c>
      <c r="F95">
        <v>93</v>
      </c>
      <c r="G95">
        <f t="shared" si="14"/>
        <v>8649</v>
      </c>
      <c r="H95">
        <f t="shared" si="15"/>
        <v>3359067</v>
      </c>
      <c r="I95">
        <f t="shared" si="16"/>
        <v>26951.53077525922</v>
      </c>
      <c r="J95">
        <f t="shared" si="19"/>
        <v>0.53149114680897847</v>
      </c>
      <c r="K95">
        <v>1.0854408989415729</v>
      </c>
      <c r="L95">
        <f t="shared" si="20"/>
        <v>26954.147707304968</v>
      </c>
      <c r="M95">
        <f t="shared" si="21"/>
        <v>9164.8522926950318</v>
      </c>
      <c r="N95">
        <f t="shared" si="22"/>
        <v>83994517.546917379</v>
      </c>
      <c r="O95">
        <f t="shared" si="23"/>
        <v>0.25374047710886327</v>
      </c>
      <c r="P95">
        <f t="shared" si="24"/>
        <v>15548.398156888561</v>
      </c>
      <c r="Q95">
        <f t="shared" si="25"/>
        <v>20570.601843111439</v>
      </c>
      <c r="R95">
        <f t="shared" si="26"/>
        <v>423149660.18781972</v>
      </c>
      <c r="S95">
        <f t="shared" si="27"/>
        <v>0.56952301678095851</v>
      </c>
    </row>
    <row r="96" spans="1:19" x14ac:dyDescent="0.35">
      <c r="B96">
        <v>11</v>
      </c>
      <c r="C96">
        <v>31981</v>
      </c>
      <c r="D96">
        <f t="shared" si="17"/>
        <v>33018.25</v>
      </c>
      <c r="E96">
        <f t="shared" si="18"/>
        <v>16509.125</v>
      </c>
      <c r="F96">
        <v>94</v>
      </c>
      <c r="G96">
        <f t="shared" si="14"/>
        <v>8836</v>
      </c>
      <c r="H96">
        <f t="shared" si="15"/>
        <v>3006214</v>
      </c>
      <c r="I96">
        <f t="shared" si="16"/>
        <v>26881.914958604611</v>
      </c>
      <c r="J96">
        <f t="shared" si="19"/>
        <v>0.61413500583653946</v>
      </c>
      <c r="K96">
        <v>1.0455966494741551</v>
      </c>
      <c r="L96">
        <f t="shared" si="20"/>
        <v>26884.57469025992</v>
      </c>
      <c r="M96">
        <f t="shared" si="21"/>
        <v>5096.4253097400797</v>
      </c>
      <c r="N96">
        <f t="shared" si="22"/>
        <v>25973550.937759265</v>
      </c>
      <c r="O96">
        <f t="shared" si="23"/>
        <v>0.15935790968825489</v>
      </c>
      <c r="P96">
        <f t="shared" si="24"/>
        <v>17261.885785750012</v>
      </c>
      <c r="Q96">
        <f t="shared" si="25"/>
        <v>14719.114214249988</v>
      </c>
      <c r="R96">
        <f t="shared" si="26"/>
        <v>216652323.25213605</v>
      </c>
      <c r="S96">
        <f t="shared" si="27"/>
        <v>0.4602455900143832</v>
      </c>
    </row>
    <row r="97" spans="1:19" x14ac:dyDescent="0.35">
      <c r="B97">
        <v>12</v>
      </c>
      <c r="C97">
        <v>26661</v>
      </c>
      <c r="D97">
        <f t="shared" si="17"/>
        <v>32267.5</v>
      </c>
      <c r="E97">
        <f t="shared" si="18"/>
        <v>16133.75</v>
      </c>
      <c r="F97">
        <v>95</v>
      </c>
      <c r="G97">
        <f t="shared" si="14"/>
        <v>9025</v>
      </c>
      <c r="H97">
        <f t="shared" si="15"/>
        <v>2532795</v>
      </c>
      <c r="I97">
        <f t="shared" si="16"/>
        <v>26812.299141949999</v>
      </c>
      <c r="J97">
        <f t="shared" si="19"/>
        <v>0.60172944940620365</v>
      </c>
      <c r="K97">
        <v>0.97608744526798275</v>
      </c>
      <c r="L97">
        <f t="shared" si="20"/>
        <v>26814.876958844674</v>
      </c>
      <c r="M97">
        <f t="shared" si="21"/>
        <v>-153.87695884467394</v>
      </c>
      <c r="N97">
        <f t="shared" si="22"/>
        <v>23678.118463285475</v>
      </c>
      <c r="O97">
        <f t="shared" si="23"/>
        <v>5.7716124243154393E-3</v>
      </c>
      <c r="P97">
        <f t="shared" si="24"/>
        <v>15747.950820092317</v>
      </c>
      <c r="Q97">
        <f t="shared" si="25"/>
        <v>10913.049179907683</v>
      </c>
      <c r="R97">
        <f t="shared" si="26"/>
        <v>119094642.40308374</v>
      </c>
      <c r="S97">
        <f t="shared" si="27"/>
        <v>0.40932632609083242</v>
      </c>
    </row>
    <row r="98" spans="1:19" x14ac:dyDescent="0.35">
      <c r="A98">
        <v>2019</v>
      </c>
      <c r="B98">
        <v>1</v>
      </c>
      <c r="C98">
        <v>25081</v>
      </c>
      <c r="D98">
        <f t="shared" si="17"/>
        <v>31145.5</v>
      </c>
      <c r="E98">
        <f t="shared" si="18"/>
        <v>15572.75</v>
      </c>
      <c r="F98">
        <v>96</v>
      </c>
      <c r="G98">
        <f t="shared" si="14"/>
        <v>9216</v>
      </c>
      <c r="H98">
        <f t="shared" si="15"/>
        <v>2407776</v>
      </c>
      <c r="I98">
        <f t="shared" si="16"/>
        <v>26742.683325295391</v>
      </c>
      <c r="J98">
        <f t="shared" si="19"/>
        <v>0.58231815448639124</v>
      </c>
      <c r="K98">
        <v>0.95654027009550235</v>
      </c>
      <c r="L98">
        <f t="shared" si="20"/>
        <v>26745.222183719976</v>
      </c>
      <c r="M98">
        <f t="shared" si="21"/>
        <v>-1664.2221837199759</v>
      </c>
      <c r="N98">
        <f t="shared" si="22"/>
        <v>2769635.4767856849</v>
      </c>
      <c r="O98">
        <f t="shared" si="23"/>
        <v>6.635390071049703E-2</v>
      </c>
      <c r="P98">
        <f t="shared" si="24"/>
        <v>14895.962491129734</v>
      </c>
      <c r="Q98">
        <f t="shared" si="25"/>
        <v>10185.037508870266</v>
      </c>
      <c r="R98">
        <f t="shared" si="26"/>
        <v>103734989.05709423</v>
      </c>
      <c r="S98">
        <f t="shared" si="27"/>
        <v>0.40608578241977056</v>
      </c>
    </row>
    <row r="99" spans="1:19" x14ac:dyDescent="0.35">
      <c r="B99">
        <v>2</v>
      </c>
      <c r="C99">
        <v>23443</v>
      </c>
      <c r="D99">
        <f t="shared" si="17"/>
        <v>29960.5</v>
      </c>
      <c r="E99">
        <f t="shared" si="18"/>
        <v>14980.25</v>
      </c>
      <c r="F99">
        <v>97</v>
      </c>
      <c r="G99">
        <f t="shared" si="14"/>
        <v>9409</v>
      </c>
      <c r="H99">
        <f t="shared" si="15"/>
        <v>2273971</v>
      </c>
      <c r="I99">
        <f t="shared" si="16"/>
        <v>26673.067508640779</v>
      </c>
      <c r="J99">
        <f t="shared" si="19"/>
        <v>0.56162456737108046</v>
      </c>
      <c r="K99">
        <v>0.98877128589391416</v>
      </c>
      <c r="L99">
        <f t="shared" si="20"/>
        <v>26675.617904494044</v>
      </c>
      <c r="M99">
        <f t="shared" si="21"/>
        <v>-3232.6179044940436</v>
      </c>
      <c r="N99">
        <f t="shared" si="22"/>
        <v>10449818.516455462</v>
      </c>
      <c r="O99">
        <f t="shared" si="23"/>
        <v>0.13789267177810194</v>
      </c>
      <c r="P99">
        <f t="shared" si="24"/>
        <v>14812.041055512307</v>
      </c>
      <c r="Q99">
        <f t="shared" si="25"/>
        <v>8630.9589444876929</v>
      </c>
      <c r="R99">
        <f t="shared" si="26"/>
        <v>74493452.301432103</v>
      </c>
      <c r="S99">
        <f t="shared" si="27"/>
        <v>0.36816785157563847</v>
      </c>
    </row>
    <row r="100" spans="1:19" x14ac:dyDescent="0.35">
      <c r="B100">
        <v>3</v>
      </c>
      <c r="C100">
        <v>28732</v>
      </c>
      <c r="D100">
        <f t="shared" si="17"/>
        <v>26791.5</v>
      </c>
      <c r="E100">
        <f t="shared" si="18"/>
        <v>13395.75</v>
      </c>
      <c r="F100">
        <v>98</v>
      </c>
      <c r="G100">
        <f t="shared" si="14"/>
        <v>9604</v>
      </c>
      <c r="H100">
        <f t="shared" si="15"/>
        <v>2815736</v>
      </c>
      <c r="I100">
        <f t="shared" si="16"/>
        <v>26603.451691986171</v>
      </c>
      <c r="J100">
        <f t="shared" si="19"/>
        <v>0.50353428401304923</v>
      </c>
      <c r="K100">
        <v>1.12387322896749</v>
      </c>
      <c r="L100">
        <f t="shared" si="20"/>
        <v>26606.079099499151</v>
      </c>
      <c r="M100">
        <f t="shared" si="21"/>
        <v>2125.9209005008488</v>
      </c>
      <c r="N100">
        <f t="shared" si="22"/>
        <v>4519539.6751863398</v>
      </c>
      <c r="O100">
        <f t="shared" si="23"/>
        <v>7.3991399850370621E-2</v>
      </c>
      <c r="P100">
        <f t="shared" si="24"/>
        <v>15055.124806941254</v>
      </c>
      <c r="Q100">
        <f t="shared" si="25"/>
        <v>13676.875193058746</v>
      </c>
      <c r="R100">
        <f t="shared" si="26"/>
        <v>187056915.04650572</v>
      </c>
      <c r="S100">
        <f t="shared" si="27"/>
        <v>0.47601542506817296</v>
      </c>
    </row>
    <row r="101" spans="1:19" x14ac:dyDescent="0.35">
      <c r="B101">
        <v>4</v>
      </c>
      <c r="C101">
        <v>29408</v>
      </c>
      <c r="D101">
        <f t="shared" si="17"/>
        <v>25979.25</v>
      </c>
      <c r="E101">
        <f t="shared" si="18"/>
        <v>12989.625</v>
      </c>
      <c r="F101">
        <v>99</v>
      </c>
      <c r="G101">
        <f t="shared" si="14"/>
        <v>9801</v>
      </c>
      <c r="H101">
        <f t="shared" si="15"/>
        <v>2911392</v>
      </c>
      <c r="I101">
        <f t="shared" si="16"/>
        <v>26533.835875331562</v>
      </c>
      <c r="J101">
        <f t="shared" si="19"/>
        <v>0.4895494590767564</v>
      </c>
      <c r="K101">
        <v>0.99808058046878956</v>
      </c>
      <c r="L101">
        <f t="shared" si="20"/>
        <v>26536.323505371111</v>
      </c>
      <c r="M101">
        <f t="shared" si="21"/>
        <v>2871.6764946288895</v>
      </c>
      <c r="N101">
        <f t="shared" si="22"/>
        <v>8246525.8898040662</v>
      </c>
      <c r="O101">
        <f t="shared" si="23"/>
        <v>9.7649499953376281E-2</v>
      </c>
      <c r="P101">
        <f t="shared" si="24"/>
        <v>12964.692460071901</v>
      </c>
      <c r="Q101">
        <f t="shared" si="25"/>
        <v>16443.307539928101</v>
      </c>
      <c r="R101">
        <f t="shared" si="26"/>
        <v>270382362.8526563</v>
      </c>
      <c r="S101">
        <f t="shared" si="27"/>
        <v>0.55914402679298492</v>
      </c>
    </row>
    <row r="102" spans="1:19" x14ac:dyDescent="0.35">
      <c r="B102">
        <v>5</v>
      </c>
      <c r="C102">
        <v>29103</v>
      </c>
      <c r="D102">
        <f t="shared" si="17"/>
        <v>26666</v>
      </c>
      <c r="E102">
        <f t="shared" si="18"/>
        <v>13333</v>
      </c>
      <c r="F102">
        <v>100</v>
      </c>
      <c r="G102">
        <f t="shared" si="14"/>
        <v>10000</v>
      </c>
      <c r="H102">
        <f t="shared" si="15"/>
        <v>2910300</v>
      </c>
      <c r="I102">
        <f t="shared" si="16"/>
        <v>26464.22005867695</v>
      </c>
      <c r="J102">
        <f t="shared" si="19"/>
        <v>0.50381231604172838</v>
      </c>
      <c r="K102">
        <v>0.8785419734796418</v>
      </c>
      <c r="L102">
        <f t="shared" si="20"/>
        <v>26466.602412966473</v>
      </c>
      <c r="M102">
        <f t="shared" si="21"/>
        <v>2636.3975870335271</v>
      </c>
      <c r="N102">
        <f t="shared" si="22"/>
        <v>6950592.236916204</v>
      </c>
      <c r="O102">
        <f t="shared" si="23"/>
        <v>9.0588516202230948E-2</v>
      </c>
      <c r="P102">
        <f t="shared" si="24"/>
        <v>11713.600132404064</v>
      </c>
      <c r="Q102">
        <f t="shared" si="25"/>
        <v>17389.399867595937</v>
      </c>
      <c r="R102">
        <f t="shared" si="26"/>
        <v>302391227.75514561</v>
      </c>
      <c r="S102">
        <f t="shared" si="27"/>
        <v>0.59751227940748164</v>
      </c>
    </row>
    <row r="103" spans="1:19" x14ac:dyDescent="0.35">
      <c r="B103">
        <v>6</v>
      </c>
      <c r="C103">
        <v>18541</v>
      </c>
      <c r="D103">
        <f t="shared" si="17"/>
        <v>27671.5</v>
      </c>
      <c r="E103">
        <f t="shared" si="18"/>
        <v>13835.75</v>
      </c>
      <c r="F103">
        <v>101</v>
      </c>
      <c r="G103">
        <f t="shared" si="14"/>
        <v>10201</v>
      </c>
      <c r="H103">
        <f t="shared" si="15"/>
        <v>1872641</v>
      </c>
      <c r="I103">
        <f t="shared" si="16"/>
        <v>26394.604242022342</v>
      </c>
      <c r="J103">
        <f t="shared" si="19"/>
        <v>0.5241885755563771</v>
      </c>
      <c r="K103">
        <v>0.8978050071877538</v>
      </c>
      <c r="L103">
        <f t="shared" si="20"/>
        <v>26397.026235605088</v>
      </c>
      <c r="M103">
        <f t="shared" si="21"/>
        <v>-7856.026235605088</v>
      </c>
      <c r="N103">
        <f t="shared" si="22"/>
        <v>61717148.214515448</v>
      </c>
      <c r="O103">
        <f t="shared" si="23"/>
        <v>0.42371103153039685</v>
      </c>
      <c r="P103">
        <f t="shared" si="24"/>
        <v>12421.805628197964</v>
      </c>
      <c r="Q103">
        <f t="shared" si="25"/>
        <v>6119.1943718020357</v>
      </c>
      <c r="R103">
        <f t="shared" si="26"/>
        <v>37444539.759893708</v>
      </c>
      <c r="S103">
        <f t="shared" si="27"/>
        <v>0.33003583257656199</v>
      </c>
    </row>
    <row r="104" spans="1:19" x14ac:dyDescent="0.35">
      <c r="B104">
        <v>7</v>
      </c>
      <c r="C104">
        <v>29362</v>
      </c>
      <c r="D104">
        <f t="shared" si="17"/>
        <v>26446</v>
      </c>
      <c r="E104">
        <f t="shared" si="18"/>
        <v>13223</v>
      </c>
      <c r="F104">
        <v>102</v>
      </c>
      <c r="G104">
        <f t="shared" si="14"/>
        <v>10404</v>
      </c>
      <c r="H104">
        <f t="shared" si="15"/>
        <v>2994924</v>
      </c>
      <c r="I104">
        <f t="shared" si="16"/>
        <v>26324.98842536773</v>
      </c>
      <c r="J104">
        <f t="shared" si="19"/>
        <v>0.50229841648317042</v>
      </c>
      <c r="K104">
        <v>0.95776764404983616</v>
      </c>
      <c r="L104">
        <f t="shared" si="20"/>
        <v>26327.448491428262</v>
      </c>
      <c r="M104">
        <f t="shared" si="21"/>
        <v>3034.5515085717379</v>
      </c>
      <c r="N104">
        <f t="shared" si="22"/>
        <v>9208502.8581750114</v>
      </c>
      <c r="O104">
        <f t="shared" si="23"/>
        <v>0.10334961884652741</v>
      </c>
      <c r="P104">
        <f t="shared" si="24"/>
        <v>12664.561557270983</v>
      </c>
      <c r="Q104">
        <f t="shared" si="25"/>
        <v>16697.438442729017</v>
      </c>
      <c r="R104">
        <f t="shared" si="26"/>
        <v>278804450.54872483</v>
      </c>
      <c r="S104">
        <f t="shared" si="27"/>
        <v>0.56867510533100663</v>
      </c>
    </row>
    <row r="105" spans="1:19" x14ac:dyDescent="0.35">
      <c r="B105">
        <v>8</v>
      </c>
      <c r="C105">
        <v>28929</v>
      </c>
      <c r="D105">
        <f t="shared" si="17"/>
        <v>26603.5</v>
      </c>
      <c r="E105">
        <f t="shared" si="18"/>
        <v>13301.75</v>
      </c>
      <c r="F105">
        <v>103</v>
      </c>
      <c r="G105">
        <f t="shared" si="14"/>
        <v>10609</v>
      </c>
      <c r="H105">
        <f t="shared" si="15"/>
        <v>2979687</v>
      </c>
      <c r="I105">
        <f t="shared" si="16"/>
        <v>26255.372608713122</v>
      </c>
      <c r="J105">
        <f t="shared" si="19"/>
        <v>0.50662964103528563</v>
      </c>
      <c r="K105">
        <v>0.99948664132339626</v>
      </c>
      <c r="L105">
        <f t="shared" si="20"/>
        <v>26257.87872499548</v>
      </c>
      <c r="M105">
        <f t="shared" si="21"/>
        <v>2671.1212750045197</v>
      </c>
      <c r="N105">
        <f t="shared" si="22"/>
        <v>7134888.865781771</v>
      </c>
      <c r="O105">
        <f t="shared" si="23"/>
        <v>9.2333688513412823E-2</v>
      </c>
      <c r="P105">
        <f t="shared" si="24"/>
        <v>13294.921431223485</v>
      </c>
      <c r="Q105">
        <f t="shared" si="25"/>
        <v>15634.078568776515</v>
      </c>
      <c r="R105">
        <f t="shared" si="26"/>
        <v>244424412.69467711</v>
      </c>
      <c r="S105">
        <f t="shared" si="27"/>
        <v>0.54042927749927461</v>
      </c>
    </row>
    <row r="106" spans="1:19" x14ac:dyDescent="0.35">
      <c r="B106">
        <v>9</v>
      </c>
      <c r="C106">
        <v>31831</v>
      </c>
      <c r="D106">
        <f t="shared" si="17"/>
        <v>26483.75</v>
      </c>
      <c r="E106">
        <f t="shared" si="18"/>
        <v>13241.875</v>
      </c>
      <c r="F106">
        <v>104</v>
      </c>
      <c r="G106">
        <f t="shared" si="14"/>
        <v>10816</v>
      </c>
      <c r="H106">
        <f t="shared" si="15"/>
        <v>3310424</v>
      </c>
      <c r="I106">
        <f t="shared" si="16"/>
        <v>26185.756792058513</v>
      </c>
      <c r="J106">
        <f t="shared" si="19"/>
        <v>0.50568998655085384</v>
      </c>
      <c r="K106">
        <v>1.0920083748499654</v>
      </c>
      <c r="L106">
        <f t="shared" si="20"/>
        <v>26188.354490419915</v>
      </c>
      <c r="M106">
        <f t="shared" si="21"/>
        <v>5642.6455095800848</v>
      </c>
      <c r="N106">
        <f t="shared" si="22"/>
        <v>31839448.346784294</v>
      </c>
      <c r="O106">
        <f t="shared" si="23"/>
        <v>0.17726887341208522</v>
      </c>
      <c r="P106">
        <f t="shared" si="24"/>
        <v>14460.238398716385</v>
      </c>
      <c r="Q106">
        <f t="shared" si="25"/>
        <v>17370.761601283615</v>
      </c>
      <c r="R106">
        <f t="shared" si="26"/>
        <v>301743358.60862929</v>
      </c>
      <c r="S106">
        <f t="shared" si="27"/>
        <v>0.54571837520918653</v>
      </c>
    </row>
    <row r="107" spans="1:19" x14ac:dyDescent="0.35">
      <c r="B107">
        <v>10</v>
      </c>
      <c r="C107">
        <v>30944</v>
      </c>
      <c r="D107">
        <f t="shared" si="17"/>
        <v>27165.75</v>
      </c>
      <c r="E107">
        <f t="shared" si="18"/>
        <v>13582.875</v>
      </c>
      <c r="F107">
        <v>105</v>
      </c>
      <c r="G107">
        <f t="shared" si="14"/>
        <v>11025</v>
      </c>
      <c r="H107">
        <f t="shared" si="15"/>
        <v>3249120</v>
      </c>
      <c r="I107">
        <f t="shared" si="16"/>
        <v>26116.140975403905</v>
      </c>
      <c r="J107">
        <f t="shared" si="19"/>
        <v>0.52009502524865014</v>
      </c>
      <c r="K107">
        <v>1.0854408989415729</v>
      </c>
      <c r="L107">
        <f t="shared" si="20"/>
        <v>26118.746511328092</v>
      </c>
      <c r="M107">
        <f t="shared" si="21"/>
        <v>4825.2534886719077</v>
      </c>
      <c r="N107">
        <f t="shared" si="22"/>
        <v>23283071.229940414</v>
      </c>
      <c r="O107">
        <f t="shared" si="23"/>
        <v>0.155935027426057</v>
      </c>
      <c r="P107">
        <f t="shared" si="24"/>
        <v>14743.408050211017</v>
      </c>
      <c r="Q107">
        <f t="shared" si="25"/>
        <v>16200.591949788983</v>
      </c>
      <c r="R107">
        <f t="shared" si="26"/>
        <v>262459179.52356759</v>
      </c>
      <c r="S107">
        <f t="shared" si="27"/>
        <v>0.52354549992854782</v>
      </c>
    </row>
    <row r="108" spans="1:19" x14ac:dyDescent="0.35">
      <c r="B108">
        <v>11</v>
      </c>
      <c r="C108">
        <v>28970</v>
      </c>
      <c r="D108">
        <f t="shared" si="17"/>
        <v>30266.5</v>
      </c>
      <c r="E108">
        <f t="shared" si="18"/>
        <v>15133.25</v>
      </c>
      <c r="F108">
        <v>106</v>
      </c>
      <c r="G108">
        <f t="shared" si="14"/>
        <v>11236</v>
      </c>
      <c r="H108">
        <f t="shared" si="15"/>
        <v>3070820</v>
      </c>
      <c r="I108">
        <f t="shared" si="16"/>
        <v>26046.525158749293</v>
      </c>
      <c r="J108">
        <f t="shared" si="19"/>
        <v>0.58100840353042593</v>
      </c>
      <c r="K108">
        <v>1.0455966494741551</v>
      </c>
      <c r="L108">
        <f t="shared" si="20"/>
        <v>26049.151763802296</v>
      </c>
      <c r="M108">
        <f t="shared" si="21"/>
        <v>2920.848236197704</v>
      </c>
      <c r="N108">
        <f t="shared" si="22"/>
        <v>8531354.4188992381</v>
      </c>
      <c r="O108">
        <f t="shared" si="23"/>
        <v>0.10082320456326213</v>
      </c>
      <c r="P108">
        <f t="shared" si="24"/>
        <v>15823.275495654758</v>
      </c>
      <c r="Q108">
        <f t="shared" si="25"/>
        <v>13146.724504345242</v>
      </c>
      <c r="R108">
        <f t="shared" si="26"/>
        <v>172836365.19315165</v>
      </c>
      <c r="S108">
        <f t="shared" si="27"/>
        <v>0.45380478095772325</v>
      </c>
    </row>
    <row r="109" spans="1:19" x14ac:dyDescent="0.35">
      <c r="B109">
        <v>12</v>
      </c>
      <c r="C109">
        <v>27453</v>
      </c>
      <c r="D109">
        <f t="shared" si="17"/>
        <v>30168.5</v>
      </c>
      <c r="E109">
        <f t="shared" si="18"/>
        <v>15084.25</v>
      </c>
      <c r="F109">
        <v>107</v>
      </c>
      <c r="G109">
        <f t="shared" si="14"/>
        <v>11449</v>
      </c>
      <c r="H109">
        <f t="shared" si="15"/>
        <v>2937471</v>
      </c>
      <c r="I109">
        <f t="shared" si="16"/>
        <v>25976.909342094681</v>
      </c>
      <c r="J109">
        <f t="shared" si="19"/>
        <v>0.58067916399725417</v>
      </c>
      <c r="K109">
        <v>0.97608744526798275</v>
      </c>
      <c r="L109">
        <f t="shared" si="20"/>
        <v>25979.466108703949</v>
      </c>
      <c r="M109">
        <f t="shared" si="21"/>
        <v>1473.5338912960506</v>
      </c>
      <c r="N109">
        <f t="shared" si="22"/>
        <v>2171302.1287980811</v>
      </c>
      <c r="O109">
        <f t="shared" si="23"/>
        <v>5.367478568083818E-2</v>
      </c>
      <c r="P109">
        <f t="shared" si="24"/>
        <v>14723.547046283571</v>
      </c>
      <c r="Q109">
        <f t="shared" si="25"/>
        <v>12729.452953716429</v>
      </c>
      <c r="R109">
        <f t="shared" si="26"/>
        <v>162038972.50087991</v>
      </c>
      <c r="S109">
        <f t="shared" si="27"/>
        <v>0.46368167244805408</v>
      </c>
    </row>
    <row r="110" spans="1:19" x14ac:dyDescent="0.35">
      <c r="A110">
        <v>2020</v>
      </c>
      <c r="B110">
        <v>1</v>
      </c>
      <c r="C110">
        <v>24119</v>
      </c>
      <c r="D110">
        <f t="shared" si="17"/>
        <v>29799.5</v>
      </c>
      <c r="E110">
        <f t="shared" si="18"/>
        <v>14899.75</v>
      </c>
      <c r="F110">
        <v>108</v>
      </c>
      <c r="G110">
        <f t="shared" si="14"/>
        <v>11664</v>
      </c>
      <c r="H110">
        <f t="shared" si="15"/>
        <v>2604852</v>
      </c>
      <c r="I110">
        <f t="shared" si="16"/>
        <v>25907.293525440073</v>
      </c>
      <c r="J110">
        <f t="shared" si="19"/>
        <v>0.57511796766300416</v>
      </c>
      <c r="K110">
        <v>0.95654027009550235</v>
      </c>
      <c r="L110">
        <f t="shared" si="20"/>
        <v>25909.825183677829</v>
      </c>
      <c r="M110">
        <f t="shared" si="21"/>
        <v>-1790.825183677829</v>
      </c>
      <c r="N110">
        <f t="shared" si="22"/>
        <v>3207054.8384947302</v>
      </c>
      <c r="O110">
        <f t="shared" si="23"/>
        <v>7.4249561908778516E-2</v>
      </c>
      <c r="P110">
        <f t="shared" si="24"/>
        <v>14252.210889355461</v>
      </c>
      <c r="Q110">
        <f t="shared" si="25"/>
        <v>9866.7891106445386</v>
      </c>
      <c r="R110">
        <f t="shared" si="26"/>
        <v>97353527.353933647</v>
      </c>
      <c r="S110">
        <f t="shared" si="27"/>
        <v>0.40908781917345405</v>
      </c>
    </row>
    <row r="111" spans="1:19" x14ac:dyDescent="0.35">
      <c r="B111">
        <v>2</v>
      </c>
      <c r="C111">
        <v>25053</v>
      </c>
      <c r="D111">
        <f t="shared" si="17"/>
        <v>27871.5</v>
      </c>
      <c r="E111">
        <f t="shared" si="18"/>
        <v>13935.75</v>
      </c>
      <c r="F111">
        <v>109</v>
      </c>
      <c r="G111">
        <f t="shared" si="14"/>
        <v>11881</v>
      </c>
      <c r="H111">
        <f t="shared" si="15"/>
        <v>2730777</v>
      </c>
      <c r="I111">
        <f t="shared" si="16"/>
        <v>25837.677708785464</v>
      </c>
      <c r="J111">
        <f t="shared" si="19"/>
        <v>0.53935768365364711</v>
      </c>
      <c r="K111">
        <v>0.98877128589391416</v>
      </c>
      <c r="L111">
        <f t="shared" si="20"/>
        <v>25840.205837755013</v>
      </c>
      <c r="M111">
        <f t="shared" si="21"/>
        <v>-787.20583775501291</v>
      </c>
      <c r="N111">
        <f t="shared" si="22"/>
        <v>619693.03099557175</v>
      </c>
      <c r="O111">
        <f t="shared" si="23"/>
        <v>3.1421619676486365E-2</v>
      </c>
      <c r="P111">
        <f t="shared" si="24"/>
        <v>13779.269447396115</v>
      </c>
      <c r="Q111">
        <f t="shared" si="25"/>
        <v>11273.730552603885</v>
      </c>
      <c r="R111">
        <f t="shared" si="26"/>
        <v>127097000.57271431</v>
      </c>
      <c r="S111">
        <f t="shared" si="27"/>
        <v>0.44999523221186627</v>
      </c>
    </row>
    <row r="112" spans="1:19" x14ac:dyDescent="0.35">
      <c r="B112">
        <v>3</v>
      </c>
      <c r="C112">
        <v>26191</v>
      </c>
      <c r="D112">
        <f t="shared" si="17"/>
        <v>26398.75</v>
      </c>
      <c r="E112">
        <f t="shared" si="18"/>
        <v>13199.375</v>
      </c>
      <c r="F112">
        <v>110</v>
      </c>
      <c r="G112">
        <f t="shared" si="14"/>
        <v>12100</v>
      </c>
      <c r="H112">
        <f t="shared" si="15"/>
        <v>2881010</v>
      </c>
      <c r="I112">
        <f t="shared" si="16"/>
        <v>25768.061892130856</v>
      </c>
      <c r="J112">
        <f t="shared" si="19"/>
        <v>0.51223778704252776</v>
      </c>
      <c r="K112">
        <v>1.12387322896749</v>
      </c>
      <c r="L112">
        <f t="shared" si="20"/>
        <v>25770.698003146867</v>
      </c>
      <c r="M112">
        <f t="shared" si="21"/>
        <v>420.30199685313346</v>
      </c>
      <c r="N112">
        <f t="shared" si="22"/>
        <v>176653.76855873142</v>
      </c>
      <c r="O112">
        <f t="shared" si="23"/>
        <v>1.6047573473831983E-2</v>
      </c>
      <c r="P112">
        <f t="shared" si="24"/>
        <v>14834.424201602764</v>
      </c>
      <c r="Q112">
        <f t="shared" si="25"/>
        <v>11356.575798397236</v>
      </c>
      <c r="R112">
        <f t="shared" si="26"/>
        <v>128971813.86474182</v>
      </c>
      <c r="S112">
        <f t="shared" si="27"/>
        <v>0.43360604018163629</v>
      </c>
    </row>
    <row r="113" spans="1:19" x14ac:dyDescent="0.35">
      <c r="B113">
        <v>4</v>
      </c>
      <c r="C113">
        <v>2053</v>
      </c>
      <c r="D113">
        <f t="shared" si="17"/>
        <v>25704</v>
      </c>
      <c r="E113">
        <f t="shared" si="18"/>
        <v>12852</v>
      </c>
      <c r="F113">
        <v>111</v>
      </c>
      <c r="G113">
        <f t="shared" si="14"/>
        <v>12321</v>
      </c>
      <c r="H113">
        <f t="shared" si="15"/>
        <v>227883</v>
      </c>
      <c r="I113">
        <f t="shared" si="16"/>
        <v>25698.446075476244</v>
      </c>
      <c r="J113">
        <f t="shared" si="19"/>
        <v>0.50010805954000959</v>
      </c>
      <c r="K113">
        <v>0.99808058046878956</v>
      </c>
      <c r="L113">
        <f t="shared" si="20"/>
        <v>25700.944264116253</v>
      </c>
      <c r="M113">
        <f t="shared" si="21"/>
        <v>-23647.944264116253</v>
      </c>
      <c r="N113">
        <f t="shared" si="22"/>
        <v>559225267.91874886</v>
      </c>
      <c r="O113">
        <f t="shared" si="23"/>
        <v>11.518725895818925</v>
      </c>
      <c r="P113">
        <f t="shared" si="24"/>
        <v>12827.331620184883</v>
      </c>
      <c r="Q113">
        <f t="shared" si="25"/>
        <v>-10774.331620184883</v>
      </c>
      <c r="R113">
        <f t="shared" si="26"/>
        <v>116086221.86171581</v>
      </c>
      <c r="S113">
        <f t="shared" si="27"/>
        <v>5.2480913883024272</v>
      </c>
    </row>
    <row r="114" spans="1:19" x14ac:dyDescent="0.35">
      <c r="B114">
        <v>5</v>
      </c>
      <c r="C114">
        <v>695</v>
      </c>
      <c r="D114">
        <f t="shared" si="17"/>
        <v>19354</v>
      </c>
      <c r="E114">
        <f t="shared" si="18"/>
        <v>9677</v>
      </c>
      <c r="F114">
        <v>112</v>
      </c>
      <c r="G114">
        <f t="shared" si="14"/>
        <v>12544</v>
      </c>
      <c r="H114">
        <f t="shared" si="15"/>
        <v>77840</v>
      </c>
      <c r="I114">
        <f t="shared" si="16"/>
        <v>25628.830258821636</v>
      </c>
      <c r="J114">
        <f t="shared" si="19"/>
        <v>0.37758258579394605</v>
      </c>
      <c r="K114">
        <v>0.8785419734796418</v>
      </c>
      <c r="L114">
        <f t="shared" si="20"/>
        <v>25631.086383380913</v>
      </c>
      <c r="M114">
        <f t="shared" si="21"/>
        <v>-24936.086383380913</v>
      </c>
      <c r="N114">
        <f t="shared" si="22"/>
        <v>621808404.11943495</v>
      </c>
      <c r="O114">
        <f t="shared" si="23"/>
        <v>35.879260983281888</v>
      </c>
      <c r="P114">
        <f t="shared" si="24"/>
        <v>8501.6506773624933</v>
      </c>
      <c r="Q114">
        <f t="shared" si="25"/>
        <v>-7806.6506773624933</v>
      </c>
      <c r="R114">
        <f t="shared" si="26"/>
        <v>60943794.798364274</v>
      </c>
      <c r="S114">
        <f t="shared" si="27"/>
        <v>11.232590902679846</v>
      </c>
    </row>
    <row r="115" spans="1:19" x14ac:dyDescent="0.35">
      <c r="B115">
        <v>6</v>
      </c>
      <c r="C115">
        <v>3705</v>
      </c>
      <c r="D115">
        <f t="shared" si="17"/>
        <v>13498</v>
      </c>
      <c r="E115">
        <f t="shared" si="18"/>
        <v>6749</v>
      </c>
      <c r="F115">
        <v>113</v>
      </c>
      <c r="G115">
        <f t="shared" si="14"/>
        <v>12769</v>
      </c>
      <c r="H115">
        <f t="shared" si="15"/>
        <v>418665</v>
      </c>
      <c r="I115">
        <f t="shared" si="16"/>
        <v>25559.214442167024</v>
      </c>
      <c r="J115">
        <f t="shared" si="19"/>
        <v>0.26405349879868178</v>
      </c>
      <c r="K115">
        <v>0.8978050071877538</v>
      </c>
      <c r="L115">
        <f t="shared" si="20"/>
        <v>25561.376300673011</v>
      </c>
      <c r="M115">
        <f t="shared" si="21"/>
        <v>-21856.376300673011</v>
      </c>
      <c r="N115">
        <f t="shared" si="22"/>
        <v>477701184.99662089</v>
      </c>
      <c r="O115">
        <f t="shared" si="23"/>
        <v>5.8991568962680194</v>
      </c>
      <c r="P115">
        <f t="shared" si="24"/>
        <v>6059.2859935101505</v>
      </c>
      <c r="Q115">
        <f t="shared" si="25"/>
        <v>-2354.2859935101505</v>
      </c>
      <c r="R115">
        <f t="shared" si="26"/>
        <v>5542662.5392380767</v>
      </c>
      <c r="S115">
        <f t="shared" si="27"/>
        <v>0.63543481606211893</v>
      </c>
    </row>
    <row r="116" spans="1:19" x14ac:dyDescent="0.35">
      <c r="B116">
        <v>7</v>
      </c>
      <c r="C116">
        <v>7224</v>
      </c>
      <c r="D116">
        <f t="shared" si="17"/>
        <v>8161</v>
      </c>
      <c r="E116">
        <f t="shared" si="18"/>
        <v>4080.5</v>
      </c>
      <c r="F116">
        <v>114</v>
      </c>
      <c r="G116">
        <f t="shared" si="14"/>
        <v>12996</v>
      </c>
      <c r="H116">
        <f t="shared" si="15"/>
        <v>823536</v>
      </c>
      <c r="I116">
        <f t="shared" si="16"/>
        <v>25489.598625512415</v>
      </c>
      <c r="J116">
        <f t="shared" si="19"/>
        <v>0.16008490600224076</v>
      </c>
      <c r="K116">
        <v>0.95776764404983616</v>
      </c>
      <c r="L116">
        <f t="shared" si="20"/>
        <v>25491.716478062466</v>
      </c>
      <c r="M116">
        <f t="shared" si="21"/>
        <v>-18267.716478062466</v>
      </c>
      <c r="N116">
        <f t="shared" si="22"/>
        <v>333709465.32287496</v>
      </c>
      <c r="O116">
        <f t="shared" si="23"/>
        <v>2.5287536652910392</v>
      </c>
      <c r="P116">
        <f t="shared" si="24"/>
        <v>3908.1708715453569</v>
      </c>
      <c r="Q116">
        <f t="shared" si="25"/>
        <v>3315.8291284546431</v>
      </c>
      <c r="R116">
        <f t="shared" si="26"/>
        <v>10994722.809108278</v>
      </c>
      <c r="S116">
        <f t="shared" si="27"/>
        <v>0.45900181733868262</v>
      </c>
    </row>
    <row r="117" spans="1:19" x14ac:dyDescent="0.35">
      <c r="B117">
        <v>8</v>
      </c>
      <c r="C117">
        <v>8673</v>
      </c>
      <c r="D117">
        <f t="shared" si="17"/>
        <v>3419.25</v>
      </c>
      <c r="E117">
        <f t="shared" si="18"/>
        <v>1709.625</v>
      </c>
      <c r="F117">
        <v>115</v>
      </c>
      <c r="G117">
        <f t="shared" si="14"/>
        <v>13225</v>
      </c>
      <c r="H117">
        <f t="shared" si="15"/>
        <v>997395</v>
      </c>
      <c r="I117">
        <f t="shared" si="16"/>
        <v>25419.982808857807</v>
      </c>
      <c r="J117">
        <f t="shared" si="19"/>
        <v>6.7255159566994932E-2</v>
      </c>
      <c r="K117">
        <v>0.99948664132339626</v>
      </c>
      <c r="L117">
        <f t="shared" si="20"/>
        <v>25422.049550658696</v>
      </c>
      <c r="M117">
        <f t="shared" si="21"/>
        <v>-16749.049550658696</v>
      </c>
      <c r="N117">
        <f t="shared" si="22"/>
        <v>280530660.85042024</v>
      </c>
      <c r="O117">
        <f t="shared" si="23"/>
        <v>1.931171399822287</v>
      </c>
      <c r="P117">
        <f t="shared" si="24"/>
        <v>1708.7473491725111</v>
      </c>
      <c r="Q117">
        <f t="shared" si="25"/>
        <v>6964.2526508274887</v>
      </c>
      <c r="R117">
        <f t="shared" si="26"/>
        <v>48500814.984557703</v>
      </c>
      <c r="S117">
        <f t="shared" si="27"/>
        <v>0.80298081988095105</v>
      </c>
    </row>
    <row r="118" spans="1:19" x14ac:dyDescent="0.35">
      <c r="B118">
        <v>9</v>
      </c>
      <c r="C118">
        <v>13150</v>
      </c>
      <c r="D118">
        <f t="shared" si="17"/>
        <v>5074.25</v>
      </c>
      <c r="E118">
        <f t="shared" si="18"/>
        <v>2537.125</v>
      </c>
      <c r="F118">
        <v>116</v>
      </c>
      <c r="G118">
        <f t="shared" si="14"/>
        <v>13456</v>
      </c>
      <c r="H118">
        <f t="shared" si="15"/>
        <v>1525400</v>
      </c>
      <c r="I118">
        <f t="shared" si="16"/>
        <v>25350.366992203195</v>
      </c>
      <c r="J118">
        <f t="shared" si="19"/>
        <v>0.10008237753640106</v>
      </c>
      <c r="K118">
        <v>1.0920083748499654</v>
      </c>
      <c r="L118">
        <f t="shared" si="20"/>
        <v>25352.55908295558</v>
      </c>
      <c r="M118">
        <f t="shared" si="21"/>
        <v>-12202.55908295558</v>
      </c>
      <c r="N118">
        <f t="shared" si="22"/>
        <v>148902448.17302173</v>
      </c>
      <c r="O118">
        <f t="shared" si="23"/>
        <v>0.92795126106126091</v>
      </c>
      <c r="P118">
        <f t="shared" si="24"/>
        <v>2770.5617480412184</v>
      </c>
      <c r="Q118">
        <f t="shared" si="25"/>
        <v>10379.438251958782</v>
      </c>
      <c r="R118">
        <f t="shared" si="26"/>
        <v>107732738.42622517</v>
      </c>
      <c r="S118">
        <f t="shared" si="27"/>
        <v>0.78931089368507845</v>
      </c>
    </row>
    <row r="119" spans="1:19" x14ac:dyDescent="0.35">
      <c r="B119">
        <v>10</v>
      </c>
      <c r="C119">
        <v>16345</v>
      </c>
      <c r="D119">
        <f t="shared" si="17"/>
        <v>8188</v>
      </c>
      <c r="E119">
        <f t="shared" si="18"/>
        <v>4094</v>
      </c>
      <c r="F119">
        <v>117</v>
      </c>
      <c r="G119">
        <f t="shared" si="14"/>
        <v>13689</v>
      </c>
      <c r="H119">
        <f t="shared" si="15"/>
        <v>1912365</v>
      </c>
      <c r="I119">
        <f t="shared" si="16"/>
        <v>25280.751175548587</v>
      </c>
      <c r="J119">
        <f t="shared" si="19"/>
        <v>0.16194139056910997</v>
      </c>
      <c r="K119">
        <v>1.0854408989415729</v>
      </c>
      <c r="L119">
        <f t="shared" si="20"/>
        <v>25282.998557838095</v>
      </c>
      <c r="M119">
        <f t="shared" si="21"/>
        <v>-8937.9985578380947</v>
      </c>
      <c r="N119">
        <f t="shared" si="22"/>
        <v>79887818.219915867</v>
      </c>
      <c r="O119">
        <f t="shared" si="23"/>
        <v>0.54683380592463104</v>
      </c>
      <c r="P119">
        <f t="shared" si="24"/>
        <v>4443.7950402667993</v>
      </c>
      <c r="Q119">
        <f t="shared" si="25"/>
        <v>11901.204959733201</v>
      </c>
      <c r="R119">
        <f t="shared" si="26"/>
        <v>141638679.49357814</v>
      </c>
      <c r="S119">
        <f t="shared" si="27"/>
        <v>0.7281251122504252</v>
      </c>
    </row>
    <row r="120" spans="1:19" x14ac:dyDescent="0.35">
      <c r="B120">
        <v>11</v>
      </c>
      <c r="C120">
        <v>15361</v>
      </c>
      <c r="D120">
        <f t="shared" si="17"/>
        <v>11348</v>
      </c>
      <c r="E120">
        <f t="shared" si="18"/>
        <v>5674</v>
      </c>
      <c r="F120">
        <v>118</v>
      </c>
      <c r="G120">
        <f t="shared" si="14"/>
        <v>13924</v>
      </c>
      <c r="H120">
        <f t="shared" si="15"/>
        <v>1812598</v>
      </c>
      <c r="I120">
        <f t="shared" si="16"/>
        <v>25211.135358893975</v>
      </c>
      <c r="J120">
        <f t="shared" si="19"/>
        <v>0.22505928111636306</v>
      </c>
      <c r="K120">
        <v>1.0455966494741551</v>
      </c>
      <c r="L120">
        <f t="shared" si="20"/>
        <v>25213.406014824566</v>
      </c>
      <c r="M120">
        <f t="shared" si="21"/>
        <v>-9852.4060148245662</v>
      </c>
      <c r="N120">
        <f t="shared" si="22"/>
        <v>97069904.280951291</v>
      </c>
      <c r="O120">
        <f t="shared" si="23"/>
        <v>0.64139092603506065</v>
      </c>
      <c r="P120">
        <f t="shared" si="24"/>
        <v>5932.7153891163562</v>
      </c>
      <c r="Q120">
        <f t="shared" si="25"/>
        <v>9428.2846108836438</v>
      </c>
      <c r="R120">
        <f t="shared" si="26"/>
        <v>88892550.70382534</v>
      </c>
      <c r="S120">
        <f t="shared" si="27"/>
        <v>0.61378065300980689</v>
      </c>
    </row>
    <row r="121" spans="1:19" x14ac:dyDescent="0.35">
      <c r="B121">
        <v>12</v>
      </c>
      <c r="C121">
        <v>18687</v>
      </c>
      <c r="D121">
        <f t="shared" si="17"/>
        <v>13382.25</v>
      </c>
      <c r="E121">
        <f t="shared" si="18"/>
        <v>6691.125</v>
      </c>
      <c r="F121">
        <v>119</v>
      </c>
      <c r="G121">
        <f t="shared" si="14"/>
        <v>14161</v>
      </c>
      <c r="H121">
        <f t="shared" si="15"/>
        <v>2223753</v>
      </c>
      <c r="I121">
        <f t="shared" si="16"/>
        <v>25141.519542239366</v>
      </c>
      <c r="J121">
        <f t="shared" si="19"/>
        <v>0.26613844834471839</v>
      </c>
      <c r="K121">
        <v>0.97608744526798275</v>
      </c>
      <c r="L121">
        <f t="shared" si="20"/>
        <v>25143.761768132979</v>
      </c>
      <c r="M121">
        <f t="shared" si="21"/>
        <v>-6456.7617681329793</v>
      </c>
      <c r="N121">
        <f t="shared" si="22"/>
        <v>41689772.530423716</v>
      </c>
      <c r="O121">
        <f t="shared" si="23"/>
        <v>0.34552158014303952</v>
      </c>
      <c r="P121">
        <f t="shared" si="24"/>
        <v>6531.1231072187311</v>
      </c>
      <c r="Q121">
        <f t="shared" si="25"/>
        <v>12155.876892781269</v>
      </c>
      <c r="R121">
        <f t="shared" si="26"/>
        <v>147765343.0324536</v>
      </c>
      <c r="S121">
        <f t="shared" si="27"/>
        <v>0.65049911129562099</v>
      </c>
    </row>
    <row r="122" spans="1:19" x14ac:dyDescent="0.35">
      <c r="A122">
        <v>2021</v>
      </c>
      <c r="B122">
        <v>1</v>
      </c>
      <c r="C122">
        <v>16033</v>
      </c>
      <c r="D122">
        <f t="shared" si="17"/>
        <v>15885.75</v>
      </c>
      <c r="E122">
        <f t="shared" si="18"/>
        <v>7942.875</v>
      </c>
      <c r="F122">
        <v>120</v>
      </c>
      <c r="G122">
        <f t="shared" si="14"/>
        <v>14400</v>
      </c>
      <c r="H122">
        <f t="shared" si="15"/>
        <v>1923960</v>
      </c>
      <c r="I122">
        <f t="shared" si="16"/>
        <v>25071.903725584758</v>
      </c>
      <c r="J122">
        <f t="shared" si="19"/>
        <v>0.31680382498815401</v>
      </c>
      <c r="K122">
        <v>0.95654027009550235</v>
      </c>
      <c r="L122">
        <f t="shared" si="20"/>
        <v>25074.177069679841</v>
      </c>
      <c r="M122">
        <f t="shared" si="21"/>
        <v>-9041.1770696798412</v>
      </c>
      <c r="N122">
        <f t="shared" si="22"/>
        <v>81742882.805304557</v>
      </c>
      <c r="O122">
        <f t="shared" si="23"/>
        <v>0.56391050144575816</v>
      </c>
      <c r="P122">
        <f t="shared" si="24"/>
        <v>7597.6797978348131</v>
      </c>
      <c r="Q122">
        <f t="shared" si="25"/>
        <v>8435.3202021651869</v>
      </c>
      <c r="R122">
        <f t="shared" si="26"/>
        <v>71154626.913056135</v>
      </c>
      <c r="S122">
        <f t="shared" si="27"/>
        <v>0.52612238521581656</v>
      </c>
    </row>
    <row r="123" spans="1:19" x14ac:dyDescent="0.35">
      <c r="B123">
        <v>2</v>
      </c>
      <c r="C123">
        <v>15144</v>
      </c>
      <c r="D123">
        <f t="shared" si="17"/>
        <v>16606.5</v>
      </c>
      <c r="E123">
        <f t="shared" si="18"/>
        <v>8303.25</v>
      </c>
      <c r="F123">
        <v>121</v>
      </c>
      <c r="G123">
        <f t="shared" si="14"/>
        <v>14641</v>
      </c>
      <c r="H123">
        <f t="shared" si="15"/>
        <v>1832424</v>
      </c>
      <c r="I123">
        <f t="shared" si="16"/>
        <v>25002.287908930146</v>
      </c>
      <c r="J123">
        <f t="shared" si="19"/>
        <v>0.33209960745369632</v>
      </c>
      <c r="K123">
        <v>0.98877128589391416</v>
      </c>
      <c r="L123">
        <f t="shared" si="20"/>
        <v>25004.608779823495</v>
      </c>
      <c r="M123">
        <f t="shared" si="21"/>
        <v>-9860.6087798234948</v>
      </c>
      <c r="N123">
        <f t="shared" si="22"/>
        <v>97231605.508732185</v>
      </c>
      <c r="O123">
        <f t="shared" si="23"/>
        <v>0.6511231365440765</v>
      </c>
      <c r="P123">
        <f t="shared" si="24"/>
        <v>8210.0151795986421</v>
      </c>
      <c r="Q123">
        <f t="shared" si="25"/>
        <v>6933.9848204013579</v>
      </c>
      <c r="R123">
        <f t="shared" si="26"/>
        <v>48080145.489556454</v>
      </c>
      <c r="S123">
        <f t="shared" si="27"/>
        <v>0.4578701017169412</v>
      </c>
    </row>
    <row r="124" spans="1:19" x14ac:dyDescent="0.35">
      <c r="B124">
        <v>3</v>
      </c>
      <c r="C124">
        <v>26258</v>
      </c>
      <c r="D124">
        <f t="shared" si="17"/>
        <v>16306.25</v>
      </c>
      <c r="E124">
        <f t="shared" si="18"/>
        <v>8153.125</v>
      </c>
      <c r="F124">
        <v>122</v>
      </c>
      <c r="G124">
        <f t="shared" si="14"/>
        <v>14884</v>
      </c>
      <c r="H124">
        <f t="shared" si="15"/>
        <v>3203476</v>
      </c>
      <c r="I124">
        <f t="shared" si="16"/>
        <v>24932.672092275538</v>
      </c>
      <c r="J124">
        <f t="shared" si="19"/>
        <v>0.32700566428762134</v>
      </c>
      <c r="K124">
        <v>1.12387322896749</v>
      </c>
      <c r="L124">
        <f t="shared" si="20"/>
        <v>24935.122971168792</v>
      </c>
      <c r="M124">
        <f t="shared" si="21"/>
        <v>1322.877028831208</v>
      </c>
      <c r="N124">
        <f t="shared" si="22"/>
        <v>1750003.6334092848</v>
      </c>
      <c r="O124">
        <f t="shared" si="23"/>
        <v>5.0379961491020184E-2</v>
      </c>
      <c r="P124">
        <f t="shared" si="24"/>
        <v>9163.0789199255669</v>
      </c>
      <c r="Q124">
        <f t="shared" si="25"/>
        <v>17094.921080074433</v>
      </c>
      <c r="R124">
        <f t="shared" si="26"/>
        <v>292236326.73397321</v>
      </c>
      <c r="S124">
        <f t="shared" si="27"/>
        <v>0.65103667758680905</v>
      </c>
    </row>
    <row r="125" spans="1:19" x14ac:dyDescent="0.35">
      <c r="B125">
        <v>4</v>
      </c>
      <c r="C125">
        <v>23301</v>
      </c>
      <c r="D125">
        <f t="shared" si="17"/>
        <v>19030.5</v>
      </c>
      <c r="E125">
        <f t="shared" si="18"/>
        <v>9515.25</v>
      </c>
      <c r="F125">
        <v>123</v>
      </c>
      <c r="G125">
        <f t="shared" si="14"/>
        <v>15129</v>
      </c>
      <c r="H125">
        <f t="shared" si="15"/>
        <v>2866023</v>
      </c>
      <c r="I125">
        <f t="shared" si="16"/>
        <v>24863.056275620926</v>
      </c>
      <c r="J125">
        <f t="shared" si="19"/>
        <v>0.3827063694228946</v>
      </c>
      <c r="K125">
        <v>0.99808058046878956</v>
      </c>
      <c r="L125">
        <f t="shared" si="20"/>
        <v>24865.437062570818</v>
      </c>
      <c r="M125">
        <f t="shared" si="21"/>
        <v>-1564.4370625708179</v>
      </c>
      <c r="N125">
        <f t="shared" si="22"/>
        <v>2447463.3227452096</v>
      </c>
      <c r="O125">
        <f t="shared" si="23"/>
        <v>6.714034000990593E-2</v>
      </c>
      <c r="P125">
        <f t="shared" si="24"/>
        <v>9496.9862433056496</v>
      </c>
      <c r="Q125">
        <f t="shared" si="25"/>
        <v>13804.01375669435</v>
      </c>
      <c r="R125">
        <f t="shared" si="26"/>
        <v>190550795.79500687</v>
      </c>
      <c r="S125">
        <f t="shared" si="27"/>
        <v>0.59242151653123687</v>
      </c>
    </row>
    <row r="126" spans="1:19" x14ac:dyDescent="0.35">
      <c r="B126">
        <v>5</v>
      </c>
      <c r="C126">
        <v>18167</v>
      </c>
      <c r="D126">
        <f t="shared" si="17"/>
        <v>20184</v>
      </c>
      <c r="E126">
        <f t="shared" si="18"/>
        <v>10092</v>
      </c>
      <c r="F126">
        <v>124</v>
      </c>
      <c r="G126">
        <f t="shared" si="14"/>
        <v>15376</v>
      </c>
      <c r="H126">
        <f t="shared" si="15"/>
        <v>2252708</v>
      </c>
      <c r="I126">
        <f t="shared" si="16"/>
        <v>24793.440458966317</v>
      </c>
      <c r="J126">
        <f t="shared" si="19"/>
        <v>0.40704314581521994</v>
      </c>
      <c r="K126">
        <v>0.8785419734796418</v>
      </c>
      <c r="L126">
        <f t="shared" si="20"/>
        <v>24795.726044085615</v>
      </c>
      <c r="M126">
        <f t="shared" si="21"/>
        <v>-6628.7260440856153</v>
      </c>
      <c r="N126">
        <f t="shared" si="22"/>
        <v>43940008.96753893</v>
      </c>
      <c r="O126">
        <f t="shared" si="23"/>
        <v>0.36487730743026453</v>
      </c>
      <c r="P126">
        <f t="shared" si="24"/>
        <v>8866.2455963565444</v>
      </c>
      <c r="Q126">
        <f t="shared" si="25"/>
        <v>9300.7544036434556</v>
      </c>
      <c r="R126">
        <f t="shared" si="26"/>
        <v>86504032.476893127</v>
      </c>
      <c r="S126">
        <f t="shared" si="27"/>
        <v>0.51195873857232654</v>
      </c>
    </row>
    <row r="127" spans="1:19" x14ac:dyDescent="0.35">
      <c r="B127">
        <v>6</v>
      </c>
      <c r="C127">
        <v>23271</v>
      </c>
      <c r="D127">
        <f t="shared" si="17"/>
        <v>20717.5</v>
      </c>
      <c r="E127">
        <f t="shared" si="18"/>
        <v>10358.75</v>
      </c>
      <c r="F127">
        <v>125</v>
      </c>
      <c r="G127">
        <f t="shared" si="14"/>
        <v>15625</v>
      </c>
      <c r="H127">
        <f t="shared" si="15"/>
        <v>2908875</v>
      </c>
      <c r="I127">
        <f t="shared" si="16"/>
        <v>24723.824642311709</v>
      </c>
      <c r="J127">
        <f t="shared" si="19"/>
        <v>0.41897846105380904</v>
      </c>
      <c r="K127">
        <v>0.8978050071877538</v>
      </c>
      <c r="L127">
        <f t="shared" si="20"/>
        <v>24726.141425779952</v>
      </c>
      <c r="M127">
        <f t="shared" si="21"/>
        <v>-1455.1414257799515</v>
      </c>
      <c r="N127">
        <f t="shared" si="22"/>
        <v>2117436.5690209102</v>
      </c>
      <c r="O127">
        <f t="shared" si="23"/>
        <v>6.2530249055904416E-2</v>
      </c>
      <c r="P127">
        <f t="shared" si="24"/>
        <v>9300.1376182061449</v>
      </c>
      <c r="Q127">
        <f t="shared" si="25"/>
        <v>13970.862381793855</v>
      </c>
      <c r="R127">
        <f t="shared" si="26"/>
        <v>195184995.69102266</v>
      </c>
      <c r="S127">
        <f t="shared" si="27"/>
        <v>0.60035505056911409</v>
      </c>
    </row>
    <row r="128" spans="1:19" x14ac:dyDescent="0.35">
      <c r="B128">
        <v>7</v>
      </c>
      <c r="C128">
        <v>21763</v>
      </c>
      <c r="D128">
        <f t="shared" si="17"/>
        <v>22749.25</v>
      </c>
      <c r="E128">
        <f t="shared" si="18"/>
        <v>11374.625</v>
      </c>
      <c r="F128">
        <v>126</v>
      </c>
      <c r="G128">
        <f t="shared" si="14"/>
        <v>15876</v>
      </c>
      <c r="H128">
        <f t="shared" si="15"/>
        <v>2742138</v>
      </c>
      <c r="I128">
        <f t="shared" si="16"/>
        <v>24654.208825657101</v>
      </c>
      <c r="J128">
        <f t="shared" si="19"/>
        <v>0.46136645797218501</v>
      </c>
      <c r="K128">
        <v>0.95776764404983616</v>
      </c>
      <c r="L128">
        <f t="shared" si="20"/>
        <v>24656.627959759124</v>
      </c>
      <c r="M128">
        <f t="shared" si="21"/>
        <v>-2893.6279597591238</v>
      </c>
      <c r="N128">
        <f t="shared" si="22"/>
        <v>8373082.7694997489</v>
      </c>
      <c r="O128">
        <f t="shared" si="23"/>
        <v>0.13296089508611514</v>
      </c>
      <c r="P128">
        <f t="shared" si="24"/>
        <v>10894.247788200368</v>
      </c>
      <c r="Q128">
        <f t="shared" si="25"/>
        <v>10868.752211799632</v>
      </c>
      <c r="R128">
        <f t="shared" si="26"/>
        <v>118129774.6414994</v>
      </c>
      <c r="S128">
        <f t="shared" si="27"/>
        <v>0.4994142449018808</v>
      </c>
    </row>
    <row r="129" spans="1:19" x14ac:dyDescent="0.35">
      <c r="B129">
        <v>8</v>
      </c>
      <c r="C129">
        <v>29898</v>
      </c>
      <c r="D129">
        <f t="shared" si="17"/>
        <v>21625.5</v>
      </c>
      <c r="E129">
        <f t="shared" si="18"/>
        <v>10812.75</v>
      </c>
      <c r="F129">
        <v>127</v>
      </c>
      <c r="G129">
        <f t="shared" si="14"/>
        <v>16129</v>
      </c>
      <c r="H129">
        <f t="shared" si="15"/>
        <v>3797046</v>
      </c>
      <c r="I129">
        <f t="shared" si="16"/>
        <v>24584.593009002489</v>
      </c>
      <c r="J129">
        <f t="shared" si="19"/>
        <v>0.43981814122530083</v>
      </c>
      <c r="K129">
        <v>0.99948664132339626</v>
      </c>
      <c r="L129">
        <f t="shared" si="20"/>
        <v>24587.032313785036</v>
      </c>
      <c r="M129">
        <f t="shared" si="21"/>
        <v>5310.9676862149645</v>
      </c>
      <c r="N129">
        <f t="shared" si="22"/>
        <v>28206377.764019534</v>
      </c>
      <c r="O129">
        <f t="shared" si="23"/>
        <v>0.17763621935296556</v>
      </c>
      <c r="P129">
        <f t="shared" si="24"/>
        <v>10807.199180969554</v>
      </c>
      <c r="Q129">
        <f t="shared" si="25"/>
        <v>19090.800819030446</v>
      </c>
      <c r="R129">
        <f t="shared" si="26"/>
        <v>364458675.91189355</v>
      </c>
      <c r="S129">
        <f t="shared" si="27"/>
        <v>0.63853103281257761</v>
      </c>
    </row>
    <row r="130" spans="1:19" x14ac:dyDescent="0.35">
      <c r="B130">
        <v>9</v>
      </c>
      <c r="C130">
        <v>34046</v>
      </c>
      <c r="D130">
        <f t="shared" si="17"/>
        <v>23274.75</v>
      </c>
      <c r="E130">
        <f t="shared" si="18"/>
        <v>11637.375</v>
      </c>
      <c r="F130">
        <v>128</v>
      </c>
      <c r="G130">
        <f t="shared" si="14"/>
        <v>16384</v>
      </c>
      <c r="H130">
        <f t="shared" si="15"/>
        <v>4357888</v>
      </c>
      <c r="I130">
        <f t="shared" si="16"/>
        <v>24514.977192347877</v>
      </c>
      <c r="J130">
        <f t="shared" si="19"/>
        <v>0.47470470434019002</v>
      </c>
      <c r="K130">
        <v>1.0920083748499654</v>
      </c>
      <c r="L130">
        <f t="shared" si="20"/>
        <v>24517.543905427068</v>
      </c>
      <c r="M130">
        <f t="shared" si="21"/>
        <v>9528.4560945729318</v>
      </c>
      <c r="N130">
        <f t="shared" si="22"/>
        <v>90791475.546204045</v>
      </c>
      <c r="O130">
        <f t="shared" si="23"/>
        <v>0.27987006093441025</v>
      </c>
      <c r="P130">
        <f t="shared" si="24"/>
        <v>12708.110961269616</v>
      </c>
      <c r="Q130">
        <f t="shared" si="25"/>
        <v>21337.889038730384</v>
      </c>
      <c r="R130">
        <f t="shared" si="26"/>
        <v>455305508.62917024</v>
      </c>
      <c r="S130">
        <f t="shared" si="27"/>
        <v>0.62673703338807452</v>
      </c>
    </row>
    <row r="131" spans="1:19" x14ac:dyDescent="0.35">
      <c r="B131">
        <v>10</v>
      </c>
      <c r="C131">
        <v>21730</v>
      </c>
      <c r="D131">
        <f t="shared" si="17"/>
        <v>27244.5</v>
      </c>
      <c r="E131">
        <f t="shared" si="18"/>
        <v>13622.25</v>
      </c>
      <c r="F131">
        <v>129</v>
      </c>
      <c r="G131">
        <f t="shared" ref="G131:G144" si="28">F131^2</f>
        <v>16641</v>
      </c>
      <c r="H131">
        <f t="shared" ref="H131:H145" si="29">F131*C131</f>
        <v>2803170</v>
      </c>
      <c r="I131">
        <f t="shared" ref="I131:I145" si="30">B$150+B$151*F131</f>
        <v>24445.361375693268</v>
      </c>
      <c r="J131">
        <f t="shared" si="19"/>
        <v>0.55725296061873719</v>
      </c>
      <c r="K131">
        <v>1.0854408989415729</v>
      </c>
      <c r="L131">
        <f t="shared" si="20"/>
        <v>24448.004069552826</v>
      </c>
      <c r="M131">
        <f t="shared" si="21"/>
        <v>-2718.004069552826</v>
      </c>
      <c r="N131">
        <f t="shared" si="22"/>
        <v>7387546.1221057232</v>
      </c>
      <c r="O131">
        <f t="shared" si="23"/>
        <v>0.12508072110229296</v>
      </c>
      <c r="P131">
        <f t="shared" si="24"/>
        <v>14786.147285606841</v>
      </c>
      <c r="Q131">
        <f t="shared" si="25"/>
        <v>6943.8527143931587</v>
      </c>
      <c r="R131">
        <f t="shared" si="26"/>
        <v>48217090.519185238</v>
      </c>
      <c r="S131">
        <f t="shared" si="27"/>
        <v>0.3195514364654008</v>
      </c>
    </row>
    <row r="132" spans="1:19" x14ac:dyDescent="0.35">
      <c r="B132">
        <v>11</v>
      </c>
      <c r="C132">
        <v>33450</v>
      </c>
      <c r="D132">
        <f t="shared" si="17"/>
        <v>26859.25</v>
      </c>
      <c r="E132">
        <f t="shared" si="18"/>
        <v>13429.625</v>
      </c>
      <c r="F132">
        <v>130</v>
      </c>
      <c r="G132">
        <f t="shared" si="28"/>
        <v>16900</v>
      </c>
      <c r="H132">
        <f t="shared" si="29"/>
        <v>4348500</v>
      </c>
      <c r="I132">
        <f t="shared" si="30"/>
        <v>24375.74555903866</v>
      </c>
      <c r="J132">
        <f t="shared" si="19"/>
        <v>0.55094212267161702</v>
      </c>
      <c r="K132">
        <v>1.0455966494741551</v>
      </c>
      <c r="L132">
        <f t="shared" si="20"/>
        <v>24378.342097810804</v>
      </c>
      <c r="M132">
        <f t="shared" si="21"/>
        <v>9071.6579021891957</v>
      </c>
      <c r="N132">
        <f t="shared" si="22"/>
        <v>82294977.094351679</v>
      </c>
      <c r="O132">
        <f t="shared" si="23"/>
        <v>0.27120053519250209</v>
      </c>
      <c r="P132">
        <f t="shared" si="24"/>
        <v>14041.970903694351</v>
      </c>
      <c r="Q132">
        <f t="shared" si="25"/>
        <v>19408.029096305647</v>
      </c>
      <c r="R132">
        <f t="shared" si="26"/>
        <v>376671593.40304661</v>
      </c>
      <c r="S132">
        <f t="shared" si="27"/>
        <v>0.58021013740824057</v>
      </c>
    </row>
    <row r="133" spans="1:19" x14ac:dyDescent="0.35">
      <c r="B133">
        <v>12</v>
      </c>
      <c r="C133">
        <v>32707</v>
      </c>
      <c r="D133">
        <f t="shared" si="17"/>
        <v>29781</v>
      </c>
      <c r="E133">
        <f t="shared" si="18"/>
        <v>14890.5</v>
      </c>
      <c r="F133">
        <v>131</v>
      </c>
      <c r="G133">
        <f t="shared" si="28"/>
        <v>17161</v>
      </c>
      <c r="H133">
        <f t="shared" si="29"/>
        <v>4284617</v>
      </c>
      <c r="I133">
        <f t="shared" si="30"/>
        <v>24306.129742384051</v>
      </c>
      <c r="J133">
        <f t="shared" si="19"/>
        <v>0.61262324186620898</v>
      </c>
      <c r="K133">
        <v>0.97608744526798275</v>
      </c>
      <c r="L133">
        <f t="shared" si="20"/>
        <v>24308.718453071186</v>
      </c>
      <c r="M133">
        <f t="shared" si="21"/>
        <v>8398.2815469288144</v>
      </c>
      <c r="N133">
        <f t="shared" si="22"/>
        <v>70531132.941485032</v>
      </c>
      <c r="O133">
        <f t="shared" si="23"/>
        <v>0.25677321511996865</v>
      </c>
      <c r="P133">
        <f t="shared" si="24"/>
        <v>14534.430103762897</v>
      </c>
      <c r="Q133">
        <f t="shared" si="25"/>
        <v>18172.569896237103</v>
      </c>
      <c r="R133">
        <f t="shared" si="26"/>
        <v>330242296.633623</v>
      </c>
      <c r="S133">
        <f t="shared" si="27"/>
        <v>0.55561714300416132</v>
      </c>
    </row>
    <row r="134" spans="1:19" x14ac:dyDescent="0.35">
      <c r="A134">
        <v>2022</v>
      </c>
      <c r="B134">
        <v>1</v>
      </c>
      <c r="C134">
        <v>22886</v>
      </c>
      <c r="D134">
        <f t="shared" si="17"/>
        <v>30483.25</v>
      </c>
      <c r="E134">
        <f t="shared" si="18"/>
        <v>15241.625</v>
      </c>
      <c r="F134">
        <v>132</v>
      </c>
      <c r="G134">
        <f t="shared" si="28"/>
        <v>17424</v>
      </c>
      <c r="H134">
        <f t="shared" si="29"/>
        <v>3020952</v>
      </c>
      <c r="I134">
        <f t="shared" si="30"/>
        <v>24236.51392572944</v>
      </c>
      <c r="J134">
        <f t="shared" si="19"/>
        <v>0.62887035019584725</v>
      </c>
      <c r="K134">
        <v>0.95654027009550235</v>
      </c>
      <c r="L134">
        <f t="shared" si="20"/>
        <v>24239.099336349733</v>
      </c>
      <c r="M134">
        <f t="shared" si="21"/>
        <v>-1353.0993363497328</v>
      </c>
      <c r="N134">
        <f t="shared" si="22"/>
        <v>1830877.8140300873</v>
      </c>
      <c r="O134">
        <f t="shared" si="23"/>
        <v>5.9123452606385248E-2</v>
      </c>
      <c r="P134">
        <f t="shared" si="24"/>
        <v>14579.228094194363</v>
      </c>
      <c r="Q134">
        <f t="shared" si="25"/>
        <v>8306.7719058056373</v>
      </c>
      <c r="R134">
        <f t="shared" si="26"/>
        <v>69002459.495081812</v>
      </c>
      <c r="S134">
        <f t="shared" si="27"/>
        <v>0.36296303005355401</v>
      </c>
    </row>
    <row r="135" spans="1:19" x14ac:dyDescent="0.35">
      <c r="B135">
        <v>2</v>
      </c>
      <c r="C135">
        <v>24865</v>
      </c>
      <c r="D135">
        <f t="shared" ref="D135:D145" si="31">SUM(C131:C134)/4</f>
        <v>27693.25</v>
      </c>
      <c r="E135">
        <f t="shared" si="18"/>
        <v>13846.625</v>
      </c>
      <c r="F135">
        <v>133</v>
      </c>
      <c r="G135">
        <f t="shared" si="28"/>
        <v>17689</v>
      </c>
      <c r="H135">
        <f t="shared" si="29"/>
        <v>3307045</v>
      </c>
      <c r="I135">
        <f t="shared" si="30"/>
        <v>24166.898109074828</v>
      </c>
      <c r="J135">
        <f t="shared" si="19"/>
        <v>0.57295830592344421</v>
      </c>
      <c r="K135">
        <v>0.98877128589391416</v>
      </c>
      <c r="L135">
        <f t="shared" si="20"/>
        <v>24169.459838666644</v>
      </c>
      <c r="M135">
        <f t="shared" si="21"/>
        <v>695.54016133335608</v>
      </c>
      <c r="N135">
        <f t="shared" si="22"/>
        <v>483776.11602763098</v>
      </c>
      <c r="O135">
        <f t="shared" si="23"/>
        <v>2.7972658810913174E-2</v>
      </c>
      <c r="P135">
        <f t="shared" si="24"/>
        <v>13691.145206540819</v>
      </c>
      <c r="Q135">
        <f t="shared" si="25"/>
        <v>11173.854793459181</v>
      </c>
      <c r="R135">
        <f t="shared" si="26"/>
        <v>124855030.94531071</v>
      </c>
      <c r="S135">
        <f t="shared" si="27"/>
        <v>0.44938084831929143</v>
      </c>
    </row>
    <row r="136" spans="1:19" x14ac:dyDescent="0.35">
      <c r="B136">
        <v>3</v>
      </c>
      <c r="C136">
        <v>33344</v>
      </c>
      <c r="D136">
        <f t="shared" si="31"/>
        <v>28477</v>
      </c>
      <c r="E136">
        <f t="shared" ref="E136:E145" si="32">($D135:$D136)/2</f>
        <v>14238.5</v>
      </c>
      <c r="F136">
        <v>134</v>
      </c>
      <c r="G136">
        <f t="shared" si="28"/>
        <v>17956</v>
      </c>
      <c r="H136">
        <f t="shared" si="29"/>
        <v>4468096</v>
      </c>
      <c r="I136">
        <f t="shared" si="30"/>
        <v>24097.282292420219</v>
      </c>
      <c r="J136">
        <f t="shared" ref="J136:J145" si="33">$E136/$I136</f>
        <v>0.59087576047854606</v>
      </c>
      <c r="K136">
        <v>1.12387322896749</v>
      </c>
      <c r="L136">
        <f t="shared" ref="L136:L145" si="34">$I136+$J136+$K136+1</f>
        <v>24099.997041409664</v>
      </c>
      <c r="M136">
        <f t="shared" ref="M136:M145" si="35">$C136-$L136</f>
        <v>9244.0029585903358</v>
      </c>
      <c r="N136">
        <f t="shared" ref="N136:N145" si="36">$M136^2</f>
        <v>85451590.698426887</v>
      </c>
      <c r="O136">
        <f t="shared" ref="O136:O145" si="37">ABS($M136/$C136)</f>
        <v>0.27723137471780035</v>
      </c>
      <c r="P136">
        <f t="shared" ref="P136:P145" si="38">$I136*$J136*$K136*1</f>
        <v>16002.268970653604</v>
      </c>
      <c r="Q136">
        <f t="shared" ref="Q136:Q145" si="39">$C136-P136</f>
        <v>17341.731029346396</v>
      </c>
      <c r="R136">
        <f t="shared" ref="R136:R145" si="40">Q136^2</f>
        <v>300735635.0941956</v>
      </c>
      <c r="S136">
        <f t="shared" ref="S136:S145" si="41">ABS($Q136/$C136)</f>
        <v>0.52008550351926575</v>
      </c>
    </row>
    <row r="137" spans="1:19" x14ac:dyDescent="0.35">
      <c r="B137">
        <v>4</v>
      </c>
      <c r="C137">
        <v>27779</v>
      </c>
      <c r="D137">
        <f t="shared" si="31"/>
        <v>28450.5</v>
      </c>
      <c r="E137">
        <f t="shared" si="32"/>
        <v>14225.25</v>
      </c>
      <c r="F137">
        <v>135</v>
      </c>
      <c r="G137">
        <f t="shared" si="28"/>
        <v>18225</v>
      </c>
      <c r="H137">
        <f t="shared" si="29"/>
        <v>3750165</v>
      </c>
      <c r="I137">
        <f t="shared" si="30"/>
        <v>24027.666475765611</v>
      </c>
      <c r="J137">
        <f t="shared" si="33"/>
        <v>0.59203626845526747</v>
      </c>
      <c r="K137">
        <v>0.99808058046878956</v>
      </c>
      <c r="L137">
        <f t="shared" si="34"/>
        <v>24030.256592614536</v>
      </c>
      <c r="M137">
        <f t="shared" si="35"/>
        <v>3748.7434073854638</v>
      </c>
      <c r="N137">
        <f t="shared" si="36"/>
        <v>14053077.134415977</v>
      </c>
      <c r="O137">
        <f t="shared" si="37"/>
        <v>0.13494882491758031</v>
      </c>
      <c r="P137">
        <f t="shared" si="38"/>
        <v>14197.945777313649</v>
      </c>
      <c r="Q137">
        <f t="shared" si="39"/>
        <v>13581.054222686351</v>
      </c>
      <c r="R137">
        <f t="shared" si="40"/>
        <v>184445033.79954675</v>
      </c>
      <c r="S137">
        <f t="shared" si="41"/>
        <v>0.48889644057332338</v>
      </c>
    </row>
    <row r="138" spans="1:19" x14ac:dyDescent="0.35">
      <c r="B138">
        <v>5</v>
      </c>
      <c r="C138">
        <v>13297</v>
      </c>
      <c r="D138">
        <f t="shared" si="31"/>
        <v>27218.5</v>
      </c>
      <c r="E138">
        <f t="shared" si="32"/>
        <v>13609.25</v>
      </c>
      <c r="F138">
        <v>136</v>
      </c>
      <c r="G138">
        <f t="shared" si="28"/>
        <v>18496</v>
      </c>
      <c r="H138">
        <f t="shared" si="29"/>
        <v>1808392</v>
      </c>
      <c r="I138">
        <f t="shared" si="30"/>
        <v>23958.050659111002</v>
      </c>
      <c r="J138">
        <f t="shared" si="33"/>
        <v>0.56804496299136675</v>
      </c>
      <c r="K138">
        <v>0.8785419734796418</v>
      </c>
      <c r="L138">
        <f t="shared" si="34"/>
        <v>23960.497246047475</v>
      </c>
      <c r="M138">
        <f t="shared" si="35"/>
        <v>-10663.497246047475</v>
      </c>
      <c r="N138">
        <f t="shared" si="36"/>
        <v>113710173.51646207</v>
      </c>
      <c r="O138">
        <f t="shared" si="37"/>
        <v>0.80194760066537374</v>
      </c>
      <c r="P138">
        <f t="shared" si="38"/>
        <v>11956.297352577814</v>
      </c>
      <c r="Q138">
        <f t="shared" si="39"/>
        <v>1340.7026474221857</v>
      </c>
      <c r="R138">
        <f t="shared" si="40"/>
        <v>1797483.5888048576</v>
      </c>
      <c r="S138">
        <f t="shared" si="41"/>
        <v>0.10082745336708925</v>
      </c>
    </row>
    <row r="139" spans="1:19" x14ac:dyDescent="0.35">
      <c r="B139">
        <v>6</v>
      </c>
      <c r="C139">
        <v>27290</v>
      </c>
      <c r="D139">
        <f t="shared" si="31"/>
        <v>24821.25</v>
      </c>
      <c r="E139">
        <f t="shared" si="32"/>
        <v>12410.625</v>
      </c>
      <c r="F139">
        <v>137</v>
      </c>
      <c r="G139">
        <f t="shared" si="28"/>
        <v>18769</v>
      </c>
      <c r="H139">
        <f t="shared" si="29"/>
        <v>3738730</v>
      </c>
      <c r="I139">
        <f t="shared" si="30"/>
        <v>23888.43484245639</v>
      </c>
      <c r="J139">
        <f t="shared" si="33"/>
        <v>0.51952440927368204</v>
      </c>
      <c r="K139">
        <v>0.8978050071877538</v>
      </c>
      <c r="L139">
        <f t="shared" si="34"/>
        <v>23890.852171872852</v>
      </c>
      <c r="M139">
        <f t="shared" si="35"/>
        <v>3399.1478281271484</v>
      </c>
      <c r="N139">
        <f t="shared" si="36"/>
        <v>11554205.95746151</v>
      </c>
      <c r="O139">
        <f t="shared" si="37"/>
        <v>0.12455653455944113</v>
      </c>
      <c r="P139">
        <f t="shared" si="38"/>
        <v>11142.321267329517</v>
      </c>
      <c r="Q139">
        <f t="shared" si="39"/>
        <v>16147.678732670483</v>
      </c>
      <c r="R139">
        <f t="shared" si="40"/>
        <v>260747528.45353863</v>
      </c>
      <c r="S139">
        <f t="shared" si="41"/>
        <v>0.59170680588752234</v>
      </c>
    </row>
    <row r="140" spans="1:19" x14ac:dyDescent="0.35">
      <c r="B140">
        <v>7</v>
      </c>
      <c r="C140">
        <v>29326</v>
      </c>
      <c r="D140">
        <f t="shared" si="31"/>
        <v>25427.5</v>
      </c>
      <c r="E140">
        <f t="shared" si="32"/>
        <v>12713.75</v>
      </c>
      <c r="F140">
        <v>138</v>
      </c>
      <c r="G140">
        <f t="shared" si="28"/>
        <v>19044</v>
      </c>
      <c r="H140">
        <f t="shared" si="29"/>
        <v>4046988</v>
      </c>
      <c r="I140">
        <f t="shared" si="30"/>
        <v>23818.819025801778</v>
      </c>
      <c r="J140">
        <f t="shared" si="33"/>
        <v>0.53376911702581931</v>
      </c>
      <c r="K140">
        <v>0.95776764404983616</v>
      </c>
      <c r="L140">
        <f t="shared" si="34"/>
        <v>23821.310562562852</v>
      </c>
      <c r="M140">
        <f t="shared" si="35"/>
        <v>5504.6894374371477</v>
      </c>
      <c r="N140">
        <f t="shared" si="36"/>
        <v>30301605.802632101</v>
      </c>
      <c r="O140">
        <f t="shared" si="37"/>
        <v>0.18770679388382827</v>
      </c>
      <c r="P140">
        <f t="shared" si="38"/>
        <v>12176.818384538605</v>
      </c>
      <c r="Q140">
        <f t="shared" si="39"/>
        <v>17149.181615461395</v>
      </c>
      <c r="R140">
        <f t="shared" si="40"/>
        <v>294094430.08007914</v>
      </c>
      <c r="S140">
        <f t="shared" si="41"/>
        <v>0.58477738578262961</v>
      </c>
    </row>
    <row r="141" spans="1:19" x14ac:dyDescent="0.35">
      <c r="B141">
        <v>8</v>
      </c>
      <c r="C141">
        <v>30844</v>
      </c>
      <c r="D141">
        <f t="shared" si="31"/>
        <v>24423</v>
      </c>
      <c r="E141">
        <f t="shared" si="32"/>
        <v>12211.5</v>
      </c>
      <c r="F141">
        <v>139</v>
      </c>
      <c r="G141">
        <f t="shared" si="28"/>
        <v>19321</v>
      </c>
      <c r="H141">
        <f t="shared" si="29"/>
        <v>4287316</v>
      </c>
      <c r="I141">
        <f t="shared" si="30"/>
        <v>23749.20320914717</v>
      </c>
      <c r="J141">
        <f t="shared" si="33"/>
        <v>0.51418567151325123</v>
      </c>
      <c r="K141">
        <v>0.99948664132339626</v>
      </c>
      <c r="L141">
        <f t="shared" si="34"/>
        <v>23751.716881460005</v>
      </c>
      <c r="M141">
        <f t="shared" si="35"/>
        <v>7092.2831185399955</v>
      </c>
      <c r="N141">
        <f t="shared" si="36"/>
        <v>50300479.833527401</v>
      </c>
      <c r="O141">
        <f t="shared" si="37"/>
        <v>0.22994044606860314</v>
      </c>
      <c r="P141">
        <f t="shared" si="38"/>
        <v>12205.231120520652</v>
      </c>
      <c r="Q141">
        <f t="shared" si="39"/>
        <v>18638.76887947935</v>
      </c>
      <c r="R141">
        <f t="shared" si="40"/>
        <v>347403705.34264791</v>
      </c>
      <c r="S141">
        <f t="shared" si="41"/>
        <v>0.6042915600920552</v>
      </c>
    </row>
    <row r="142" spans="1:19" x14ac:dyDescent="0.35">
      <c r="B142">
        <v>9</v>
      </c>
      <c r="C142">
        <v>33449</v>
      </c>
      <c r="D142">
        <f t="shared" si="31"/>
        <v>25189.25</v>
      </c>
      <c r="E142">
        <f t="shared" si="32"/>
        <v>12594.625</v>
      </c>
      <c r="F142">
        <v>140</v>
      </c>
      <c r="G142">
        <f t="shared" si="28"/>
        <v>19600</v>
      </c>
      <c r="H142">
        <f t="shared" si="29"/>
        <v>4682860</v>
      </c>
      <c r="I142">
        <f t="shared" si="30"/>
        <v>23679.587392492562</v>
      </c>
      <c r="J142">
        <f t="shared" si="33"/>
        <v>0.53187687738144596</v>
      </c>
      <c r="K142">
        <v>1.0920083748499654</v>
      </c>
      <c r="L142">
        <f t="shared" si="34"/>
        <v>23682.211277744795</v>
      </c>
      <c r="M142">
        <f t="shared" si="35"/>
        <v>9766.7887222552054</v>
      </c>
      <c r="N142">
        <f t="shared" si="36"/>
        <v>95390161.945171461</v>
      </c>
      <c r="O142">
        <f t="shared" si="37"/>
        <v>0.29199045478953645</v>
      </c>
      <c r="P142">
        <f t="shared" si="38"/>
        <v>13753.435978094745</v>
      </c>
      <c r="Q142">
        <f t="shared" si="39"/>
        <v>19695.564021905255</v>
      </c>
      <c r="R142">
        <f t="shared" si="40"/>
        <v>387915242.14096868</v>
      </c>
      <c r="S142">
        <f t="shared" si="41"/>
        <v>0.58882370240979565</v>
      </c>
    </row>
    <row r="143" spans="1:19" x14ac:dyDescent="0.35">
      <c r="B143">
        <v>10</v>
      </c>
      <c r="C143">
        <v>33740</v>
      </c>
      <c r="D143">
        <f t="shared" si="31"/>
        <v>30227.25</v>
      </c>
      <c r="E143">
        <f t="shared" si="32"/>
        <v>15113.625</v>
      </c>
      <c r="F143">
        <v>141</v>
      </c>
      <c r="G143">
        <f t="shared" si="28"/>
        <v>19881</v>
      </c>
      <c r="H143">
        <f t="shared" si="29"/>
        <v>4757340</v>
      </c>
      <c r="I143">
        <f t="shared" si="30"/>
        <v>23609.971575837953</v>
      </c>
      <c r="J143">
        <f t="shared" si="33"/>
        <v>0.64013736532690402</v>
      </c>
      <c r="K143">
        <v>1.0854408989415729</v>
      </c>
      <c r="L143">
        <f t="shared" si="34"/>
        <v>23612.697154102221</v>
      </c>
      <c r="M143">
        <f t="shared" si="35"/>
        <v>10127.302845897779</v>
      </c>
      <c r="N143">
        <f t="shared" si="36"/>
        <v>102562262.93252926</v>
      </c>
      <c r="O143">
        <f t="shared" si="37"/>
        <v>0.30015716792820923</v>
      </c>
      <c r="P143">
        <f t="shared" si="38"/>
        <v>16404.94670626583</v>
      </c>
      <c r="Q143">
        <f t="shared" si="39"/>
        <v>17335.05329373417</v>
      </c>
      <c r="R143">
        <f t="shared" si="40"/>
        <v>300504072.69660389</v>
      </c>
      <c r="S143">
        <f t="shared" si="41"/>
        <v>0.51378344083385208</v>
      </c>
    </row>
    <row r="144" spans="1:19" x14ac:dyDescent="0.35">
      <c r="B144">
        <v>11</v>
      </c>
      <c r="C144">
        <v>26462</v>
      </c>
      <c r="D144">
        <f t="shared" si="31"/>
        <v>31839.75</v>
      </c>
      <c r="E144">
        <f t="shared" si="32"/>
        <v>15919.875</v>
      </c>
      <c r="F144">
        <v>142</v>
      </c>
      <c r="G144">
        <f t="shared" si="28"/>
        <v>20164</v>
      </c>
      <c r="H144">
        <f t="shared" si="29"/>
        <v>3757604</v>
      </c>
      <c r="I144">
        <f t="shared" si="30"/>
        <v>23540.355759183341</v>
      </c>
      <c r="J144">
        <f t="shared" si="33"/>
        <v>0.67628013624175953</v>
      </c>
      <c r="K144">
        <v>1.0455966494741551</v>
      </c>
      <c r="L144">
        <f t="shared" si="34"/>
        <v>23543.077635969057</v>
      </c>
      <c r="M144">
        <f t="shared" si="35"/>
        <v>2918.9223640309428</v>
      </c>
      <c r="N144">
        <f t="shared" si="36"/>
        <v>8520107.7672399879</v>
      </c>
      <c r="O144">
        <f t="shared" si="37"/>
        <v>0.11030618864904175</v>
      </c>
      <c r="P144">
        <f t="shared" si="38"/>
        <v>16645.767960047364</v>
      </c>
      <c r="Q144">
        <f t="shared" si="39"/>
        <v>9816.2320399526361</v>
      </c>
      <c r="R144">
        <f t="shared" si="40"/>
        <v>96358411.462192684</v>
      </c>
      <c r="S144">
        <f t="shared" si="41"/>
        <v>0.370955787164713</v>
      </c>
    </row>
    <row r="145" spans="1:39" x14ac:dyDescent="0.35">
      <c r="B145">
        <v>12</v>
      </c>
      <c r="C145">
        <v>28128</v>
      </c>
      <c r="D145">
        <f t="shared" si="31"/>
        <v>31123.75</v>
      </c>
      <c r="E145">
        <f t="shared" si="32"/>
        <v>15561.875</v>
      </c>
      <c r="F145">
        <v>143</v>
      </c>
      <c r="G145">
        <f>F145^2</f>
        <v>20449</v>
      </c>
      <c r="H145">
        <f t="shared" si="29"/>
        <v>4022304</v>
      </c>
      <c r="I145">
        <f>B$150+B$151*F149</f>
        <v>23401.124125874121</v>
      </c>
      <c r="J145">
        <f t="shared" si="33"/>
        <v>0.6650054465885068</v>
      </c>
      <c r="K145">
        <v>0.97608744526798275</v>
      </c>
      <c r="L145">
        <f t="shared" si="34"/>
        <v>23403.765218765981</v>
      </c>
      <c r="M145">
        <f t="shared" si="35"/>
        <v>4724.2347812340195</v>
      </c>
      <c r="N145">
        <f t="shared" si="36"/>
        <v>22318394.268221244</v>
      </c>
      <c r="O145">
        <f t="shared" si="37"/>
        <v>0.16795487703477033</v>
      </c>
      <c r="P145">
        <f t="shared" si="38"/>
        <v>15189.750812329688</v>
      </c>
      <c r="Q145">
        <f t="shared" si="39"/>
        <v>12938.249187670312</v>
      </c>
      <c r="R145">
        <f t="shared" si="40"/>
        <v>167398292.04225147</v>
      </c>
      <c r="S145">
        <f t="shared" si="41"/>
        <v>0.45997757350932567</v>
      </c>
    </row>
    <row r="146" spans="1:39" x14ac:dyDescent="0.35">
      <c r="A146" t="s">
        <v>168</v>
      </c>
      <c r="C146">
        <f>SUM(C2:C145)</f>
        <v>4096551</v>
      </c>
      <c r="F146">
        <f>SUM(F2:F145)</f>
        <v>10296</v>
      </c>
      <c r="G146">
        <f>SUM(G2:G145)</f>
        <v>984984</v>
      </c>
      <c r="H146">
        <f>SUM(H2:H145)</f>
        <v>275581589</v>
      </c>
      <c r="N146">
        <f>SUM(N2:N145)</f>
        <v>6819387035.6594572</v>
      </c>
      <c r="O146">
        <f>SUM(O2:O145)</f>
        <v>82.053947754654615</v>
      </c>
      <c r="R146">
        <f>AVERAGE(R7:R145)</f>
        <v>239467651.42732915</v>
      </c>
      <c r="S146">
        <f>AVERAGE(S7:S145)*100</f>
        <v>61.259093739666781</v>
      </c>
    </row>
    <row r="147" spans="1:39" x14ac:dyDescent="0.35">
      <c r="N147" t="s">
        <v>173</v>
      </c>
      <c r="O147" t="s">
        <v>174</v>
      </c>
      <c r="R147" t="s">
        <v>173</v>
      </c>
      <c r="S147" t="s">
        <v>174</v>
      </c>
    </row>
    <row r="148" spans="1:39" x14ac:dyDescent="0.35">
      <c r="N148">
        <f>N146/139</f>
        <v>49060338.386039257</v>
      </c>
      <c r="O148">
        <f>O146*100/139</f>
        <v>59.031617089679578</v>
      </c>
    </row>
    <row r="149" spans="1:39" x14ac:dyDescent="0.35">
      <c r="A149">
        <v>2023</v>
      </c>
      <c r="B149">
        <v>1</v>
      </c>
      <c r="D149">
        <f>SUM(C142:C145)/4</f>
        <v>30444.75</v>
      </c>
      <c r="E149">
        <f>SUM(D145:D149)/2</f>
        <v>30784.25</v>
      </c>
      <c r="F149">
        <v>144</v>
      </c>
      <c r="G149">
        <f>F149^2</f>
        <v>20736</v>
      </c>
      <c r="I149">
        <f>B$150+B$151*F149</f>
        <v>23401.124125874121</v>
      </c>
      <c r="J149">
        <f>E149/I149</f>
        <v>1.3155030431193053</v>
      </c>
      <c r="K149">
        <v>0.95654027009550235</v>
      </c>
      <c r="L149">
        <f>I149+J149+K149+1</f>
        <v>23404.396169187334</v>
      </c>
    </row>
    <row r="150" spans="1:39" x14ac:dyDescent="0.35">
      <c r="A150" s="2" t="s">
        <v>166</v>
      </c>
      <c r="B150" s="2">
        <f>(C146*G146-F146*H146)/(144*G146-F146^2)</f>
        <v>33425.801724137928</v>
      </c>
    </row>
    <row r="151" spans="1:39" x14ac:dyDescent="0.35">
      <c r="A151" s="2" t="s">
        <v>167</v>
      </c>
      <c r="B151" s="2">
        <f>(144*H146-F146*C146)/(144*G146-F146^2)</f>
        <v>-69.615816654609759</v>
      </c>
    </row>
    <row r="154" spans="1:39" x14ac:dyDescent="0.35">
      <c r="A154" s="3" t="s">
        <v>169</v>
      </c>
      <c r="B154" s="3" t="s">
        <v>0</v>
      </c>
      <c r="C154" s="3" t="s">
        <v>170</v>
      </c>
      <c r="D154" s="3" t="s">
        <v>169</v>
      </c>
      <c r="E154" s="3" t="s">
        <v>0</v>
      </c>
      <c r="F154" s="3" t="s">
        <v>170</v>
      </c>
      <c r="G154" s="3" t="s">
        <v>169</v>
      </c>
      <c r="H154" s="3" t="s">
        <v>0</v>
      </c>
      <c r="I154" s="3" t="s">
        <v>170</v>
      </c>
      <c r="J154" s="3" t="s">
        <v>169</v>
      </c>
      <c r="K154" s="3" t="s">
        <v>0</v>
      </c>
      <c r="L154" s="3" t="s">
        <v>170</v>
      </c>
      <c r="M154" s="3" t="s">
        <v>169</v>
      </c>
      <c r="N154" s="3" t="s">
        <v>0</v>
      </c>
      <c r="O154" s="3" t="s">
        <v>170</v>
      </c>
      <c r="P154" s="3" t="s">
        <v>169</v>
      </c>
      <c r="Q154" s="3" t="s">
        <v>0</v>
      </c>
      <c r="R154" s="3" t="s">
        <v>170</v>
      </c>
      <c r="S154" s="3" t="s">
        <v>169</v>
      </c>
      <c r="T154" s="3" t="s">
        <v>0</v>
      </c>
      <c r="U154" s="3" t="s">
        <v>170</v>
      </c>
      <c r="V154" s="3" t="s">
        <v>169</v>
      </c>
      <c r="W154" s="3" t="s">
        <v>0</v>
      </c>
      <c r="X154" s="3" t="s">
        <v>170</v>
      </c>
      <c r="Y154" s="3" t="s">
        <v>169</v>
      </c>
      <c r="Z154" s="3" t="s">
        <v>0</v>
      </c>
      <c r="AA154" s="3" t="s">
        <v>170</v>
      </c>
      <c r="AB154" s="3" t="s">
        <v>169</v>
      </c>
      <c r="AC154" s="3" t="s">
        <v>0</v>
      </c>
      <c r="AD154" s="3" t="s">
        <v>170</v>
      </c>
      <c r="AE154" s="3" t="s">
        <v>169</v>
      </c>
      <c r="AF154" s="3" t="s">
        <v>0</v>
      </c>
      <c r="AG154" s="3" t="s">
        <v>170</v>
      </c>
      <c r="AH154" s="3" t="s">
        <v>169</v>
      </c>
      <c r="AI154" s="3" t="s">
        <v>0</v>
      </c>
      <c r="AJ154" s="3" t="s">
        <v>170</v>
      </c>
      <c r="AK154" s="3" t="s">
        <v>171</v>
      </c>
      <c r="AL154" s="3" t="s">
        <v>172</v>
      </c>
      <c r="AM154" s="3" t="s">
        <v>158</v>
      </c>
    </row>
    <row r="155" spans="1:39" x14ac:dyDescent="0.35">
      <c r="A155">
        <v>2011</v>
      </c>
      <c r="B155">
        <v>1</v>
      </c>
      <c r="C155">
        <v>27619</v>
      </c>
      <c r="D155">
        <v>2012</v>
      </c>
      <c r="E155">
        <v>1</v>
      </c>
      <c r="F155">
        <v>29189</v>
      </c>
      <c r="G155">
        <v>2013</v>
      </c>
      <c r="H155">
        <v>1</v>
      </c>
      <c r="I155">
        <v>35923</v>
      </c>
      <c r="J155">
        <v>2014</v>
      </c>
      <c r="K155">
        <v>1</v>
      </c>
      <c r="L155">
        <v>35886</v>
      </c>
      <c r="M155">
        <v>2015</v>
      </c>
      <c r="N155">
        <v>1</v>
      </c>
      <c r="O155">
        <v>27166</v>
      </c>
      <c r="P155">
        <v>2016</v>
      </c>
      <c r="Q155">
        <v>1</v>
      </c>
      <c r="R155">
        <v>24859</v>
      </c>
      <c r="S155">
        <v>2017</v>
      </c>
      <c r="T155">
        <v>1</v>
      </c>
      <c r="U155">
        <v>32377</v>
      </c>
      <c r="V155">
        <v>2018</v>
      </c>
      <c r="W155">
        <v>1</v>
      </c>
      <c r="X155">
        <v>25405</v>
      </c>
      <c r="Y155">
        <v>2019</v>
      </c>
      <c r="Z155">
        <v>1</v>
      </c>
      <c r="AA155">
        <v>25081</v>
      </c>
      <c r="AB155">
        <v>2020</v>
      </c>
      <c r="AC155">
        <v>1</v>
      </c>
      <c r="AD155">
        <v>24119</v>
      </c>
      <c r="AE155">
        <v>2021</v>
      </c>
      <c r="AF155">
        <v>1</v>
      </c>
      <c r="AG155">
        <v>16033</v>
      </c>
      <c r="AH155">
        <v>2022</v>
      </c>
      <c r="AI155">
        <v>1</v>
      </c>
      <c r="AJ155">
        <v>22886</v>
      </c>
      <c r="AK155">
        <f>$C155+$F155+$I155+$L155+$O155+$R155+$U155+$X155+$AA155+$AD155+$AG155+$AJ155</f>
        <v>326543</v>
      </c>
      <c r="AL155">
        <f>$AK155/AK$167</f>
        <v>7.9711689174625192E-2</v>
      </c>
      <c r="AM155">
        <f>$AL155*12</f>
        <v>0.95654027009550235</v>
      </c>
    </row>
    <row r="156" spans="1:39" x14ac:dyDescent="0.35">
      <c r="B156">
        <v>2</v>
      </c>
      <c r="C156">
        <v>25532</v>
      </c>
      <c r="E156">
        <v>2</v>
      </c>
      <c r="F156">
        <v>33558</v>
      </c>
      <c r="H156">
        <v>2</v>
      </c>
      <c r="I156">
        <v>35318</v>
      </c>
      <c r="K156">
        <v>2</v>
      </c>
      <c r="L156">
        <v>38631</v>
      </c>
      <c r="N156">
        <v>2</v>
      </c>
      <c r="O156">
        <v>26743</v>
      </c>
      <c r="Q156">
        <v>2</v>
      </c>
      <c r="R156">
        <v>25447</v>
      </c>
      <c r="T156">
        <v>2</v>
      </c>
      <c r="U156">
        <v>36147</v>
      </c>
      <c r="W156">
        <v>2</v>
      </c>
      <c r="X156">
        <v>27665</v>
      </c>
      <c r="Z156">
        <v>2</v>
      </c>
      <c r="AA156">
        <v>23443</v>
      </c>
      <c r="AC156">
        <v>2</v>
      </c>
      <c r="AD156">
        <v>25053</v>
      </c>
      <c r="AF156">
        <v>2</v>
      </c>
      <c r="AG156">
        <v>15144</v>
      </c>
      <c r="AI156">
        <v>2</v>
      </c>
      <c r="AJ156">
        <v>24865</v>
      </c>
      <c r="AK156">
        <f>$C156+$F156+$I156+$L156+$O156+$R156+$U156+$X156+$AA156+$AD156+$AG156+$AJ156</f>
        <v>337546</v>
      </c>
      <c r="AL156">
        <f t="shared" ref="AL156:AL166" si="42">$AK156/AK$167</f>
        <v>8.239760715782618E-2</v>
      </c>
      <c r="AM156">
        <f t="shared" ref="AM156:AM166" si="43">$AL156*12</f>
        <v>0.98877128589391416</v>
      </c>
    </row>
    <row r="157" spans="1:39" x14ac:dyDescent="0.35">
      <c r="B157">
        <v>3</v>
      </c>
      <c r="C157">
        <v>32275</v>
      </c>
      <c r="E157">
        <v>3</v>
      </c>
      <c r="F157">
        <v>33306</v>
      </c>
      <c r="H157">
        <v>3</v>
      </c>
      <c r="I157">
        <v>32726</v>
      </c>
      <c r="K157">
        <v>3</v>
      </c>
      <c r="L157">
        <v>38959</v>
      </c>
      <c r="N157">
        <v>3</v>
      </c>
      <c r="O157">
        <v>31801</v>
      </c>
      <c r="Q157">
        <v>3</v>
      </c>
      <c r="R157">
        <v>29995</v>
      </c>
      <c r="T157">
        <v>3</v>
      </c>
      <c r="U157">
        <v>38656</v>
      </c>
      <c r="W157">
        <v>3</v>
      </c>
      <c r="X157">
        <v>31424</v>
      </c>
      <c r="Z157">
        <v>3</v>
      </c>
      <c r="AA157">
        <v>28732</v>
      </c>
      <c r="AC157">
        <v>3</v>
      </c>
      <c r="AD157">
        <v>26191</v>
      </c>
      <c r="AF157">
        <v>3</v>
      </c>
      <c r="AG157">
        <v>26258</v>
      </c>
      <c r="AI157">
        <v>3</v>
      </c>
      <c r="AJ157">
        <v>33344</v>
      </c>
      <c r="AK157">
        <f t="shared" ref="AK157:AK166" si="44">$C157+$F157+$I157+$L157+$O157+$R157+$U157+$X157+$AA157+$AD157+$AG157+$AJ157</f>
        <v>383667</v>
      </c>
      <c r="AL157">
        <f t="shared" si="42"/>
        <v>9.3656102413957498E-2</v>
      </c>
      <c r="AM157">
        <f t="shared" si="43"/>
        <v>1.12387322896749</v>
      </c>
    </row>
    <row r="158" spans="1:39" x14ac:dyDescent="0.35">
      <c r="B158">
        <v>4</v>
      </c>
      <c r="C158">
        <v>21128</v>
      </c>
      <c r="E158">
        <v>4</v>
      </c>
      <c r="F158">
        <v>34264</v>
      </c>
      <c r="H158">
        <v>4</v>
      </c>
      <c r="I158">
        <v>39668</v>
      </c>
      <c r="K158">
        <v>4</v>
      </c>
      <c r="L158">
        <v>39323</v>
      </c>
      <c r="N158">
        <v>4</v>
      </c>
      <c r="O158">
        <v>30053</v>
      </c>
      <c r="Q158">
        <v>4</v>
      </c>
      <c r="R158">
        <v>31059</v>
      </c>
      <c r="T158">
        <v>4</v>
      </c>
      <c r="U158">
        <v>33328</v>
      </c>
      <c r="W158">
        <v>4</v>
      </c>
      <c r="X158">
        <v>29360</v>
      </c>
      <c r="Z158">
        <v>4</v>
      </c>
      <c r="AA158">
        <v>29408</v>
      </c>
      <c r="AC158">
        <v>4</v>
      </c>
      <c r="AD158">
        <v>2053</v>
      </c>
      <c r="AF158">
        <v>4</v>
      </c>
      <c r="AG158">
        <v>23301</v>
      </c>
      <c r="AI158">
        <v>4</v>
      </c>
      <c r="AJ158">
        <v>27779</v>
      </c>
      <c r="AK158">
        <f t="shared" si="44"/>
        <v>340724</v>
      </c>
      <c r="AL158">
        <f t="shared" si="42"/>
        <v>8.3173381705732463E-2</v>
      </c>
      <c r="AM158">
        <f t="shared" si="43"/>
        <v>0.99808058046878956</v>
      </c>
    </row>
    <row r="159" spans="1:39" x14ac:dyDescent="0.35">
      <c r="B159">
        <v>5</v>
      </c>
      <c r="C159">
        <v>19554</v>
      </c>
      <c r="E159">
        <v>5</v>
      </c>
      <c r="F159">
        <v>34737</v>
      </c>
      <c r="H159">
        <v>5</v>
      </c>
      <c r="I159">
        <v>36282</v>
      </c>
      <c r="K159">
        <v>5</v>
      </c>
      <c r="L159">
        <v>31440</v>
      </c>
      <c r="N159">
        <v>5</v>
      </c>
      <c r="O159">
        <v>23223</v>
      </c>
      <c r="Q159">
        <v>5</v>
      </c>
      <c r="R159">
        <v>31662</v>
      </c>
      <c r="T159">
        <v>5</v>
      </c>
      <c r="U159">
        <v>32806</v>
      </c>
      <c r="W159">
        <v>5</v>
      </c>
      <c r="X159">
        <v>28950</v>
      </c>
      <c r="Z159">
        <v>5</v>
      </c>
      <c r="AA159">
        <v>29103</v>
      </c>
      <c r="AC159">
        <v>5</v>
      </c>
      <c r="AD159">
        <v>695</v>
      </c>
      <c r="AF159">
        <v>5</v>
      </c>
      <c r="AG159">
        <v>18167</v>
      </c>
      <c r="AI159">
        <v>5</v>
      </c>
      <c r="AJ159">
        <v>13297</v>
      </c>
      <c r="AK159">
        <f t="shared" si="44"/>
        <v>299916</v>
      </c>
      <c r="AL159">
        <f t="shared" si="42"/>
        <v>7.3211831123303484E-2</v>
      </c>
      <c r="AM159">
        <f t="shared" si="43"/>
        <v>0.8785419734796418</v>
      </c>
    </row>
    <row r="160" spans="1:39" x14ac:dyDescent="0.35">
      <c r="B160">
        <v>6</v>
      </c>
      <c r="C160">
        <v>26175</v>
      </c>
      <c r="E160">
        <v>6</v>
      </c>
      <c r="F160">
        <v>37176</v>
      </c>
      <c r="H160">
        <v>6</v>
      </c>
      <c r="I160">
        <v>35125</v>
      </c>
      <c r="K160">
        <v>6</v>
      </c>
      <c r="L160">
        <v>39107</v>
      </c>
      <c r="N160">
        <v>6</v>
      </c>
      <c r="O160">
        <v>23967</v>
      </c>
      <c r="Q160">
        <v>6</v>
      </c>
      <c r="R160">
        <v>31519</v>
      </c>
      <c r="T160">
        <v>6</v>
      </c>
      <c r="U160">
        <v>21974</v>
      </c>
      <c r="W160">
        <v>6</v>
      </c>
      <c r="X160">
        <v>18642</v>
      </c>
      <c r="Z160">
        <v>6</v>
      </c>
      <c r="AA160">
        <v>18541</v>
      </c>
      <c r="AC160">
        <v>6</v>
      </c>
      <c r="AD160">
        <v>3705</v>
      </c>
      <c r="AF160">
        <v>6</v>
      </c>
      <c r="AG160">
        <v>23271</v>
      </c>
      <c r="AI160">
        <v>6</v>
      </c>
      <c r="AJ160">
        <v>27290</v>
      </c>
      <c r="AK160">
        <f t="shared" si="44"/>
        <v>306492</v>
      </c>
      <c r="AL160">
        <f t="shared" si="42"/>
        <v>7.4817083932312817E-2</v>
      </c>
      <c r="AM160">
        <f t="shared" si="43"/>
        <v>0.8978050071877538</v>
      </c>
    </row>
    <row r="161" spans="2:39" x14ac:dyDescent="0.35">
      <c r="B161">
        <v>7</v>
      </c>
      <c r="C161">
        <v>30149</v>
      </c>
      <c r="E161">
        <v>7</v>
      </c>
      <c r="F161">
        <v>36353</v>
      </c>
      <c r="H161">
        <v>7</v>
      </c>
      <c r="I161">
        <v>39210</v>
      </c>
      <c r="K161">
        <v>7</v>
      </c>
      <c r="L161">
        <v>28757</v>
      </c>
      <c r="N161">
        <v>7</v>
      </c>
      <c r="O161">
        <v>13495</v>
      </c>
      <c r="Q161">
        <v>7</v>
      </c>
      <c r="R161">
        <v>24718</v>
      </c>
      <c r="T161">
        <v>7</v>
      </c>
      <c r="U161">
        <v>31621</v>
      </c>
      <c r="W161">
        <v>7</v>
      </c>
      <c r="X161">
        <v>34984</v>
      </c>
      <c r="Z161">
        <v>7</v>
      </c>
      <c r="AA161">
        <v>29362</v>
      </c>
      <c r="AC161">
        <v>7</v>
      </c>
      <c r="AD161">
        <v>7224</v>
      </c>
      <c r="AF161">
        <v>7</v>
      </c>
      <c r="AG161">
        <v>21763</v>
      </c>
      <c r="AI161">
        <v>7</v>
      </c>
      <c r="AJ161">
        <v>29326</v>
      </c>
      <c r="AK161">
        <f t="shared" si="44"/>
        <v>326962</v>
      </c>
      <c r="AL161">
        <f t="shared" si="42"/>
        <v>7.9813970337486342E-2</v>
      </c>
      <c r="AM161">
        <f t="shared" si="43"/>
        <v>0.95776764404983616</v>
      </c>
    </row>
    <row r="162" spans="2:39" x14ac:dyDescent="0.35">
      <c r="B162">
        <v>8</v>
      </c>
      <c r="C162">
        <v>25207</v>
      </c>
      <c r="E162">
        <v>8</v>
      </c>
      <c r="F162">
        <v>25848</v>
      </c>
      <c r="H162">
        <v>8</v>
      </c>
      <c r="I162">
        <v>24899</v>
      </c>
      <c r="K162">
        <v>8</v>
      </c>
      <c r="L162">
        <v>30273</v>
      </c>
      <c r="N162">
        <v>8</v>
      </c>
      <c r="O162">
        <v>31991</v>
      </c>
      <c r="Q162">
        <v>8</v>
      </c>
      <c r="R162">
        <v>38803</v>
      </c>
      <c r="T162">
        <v>8</v>
      </c>
      <c r="U162">
        <v>34690</v>
      </c>
      <c r="W162">
        <v>8</v>
      </c>
      <c r="X162">
        <v>31149</v>
      </c>
      <c r="Z162">
        <v>8</v>
      </c>
      <c r="AA162">
        <v>28929</v>
      </c>
      <c r="AC162">
        <v>8</v>
      </c>
      <c r="AD162">
        <v>8673</v>
      </c>
      <c r="AF162">
        <v>8</v>
      </c>
      <c r="AG162">
        <v>29898</v>
      </c>
      <c r="AI162">
        <v>8</v>
      </c>
      <c r="AJ162">
        <v>30844</v>
      </c>
      <c r="AK162">
        <f t="shared" si="44"/>
        <v>341204</v>
      </c>
      <c r="AL162">
        <f t="shared" si="42"/>
        <v>8.3290553443616355E-2</v>
      </c>
      <c r="AM162">
        <f t="shared" si="43"/>
        <v>0.99948664132339626</v>
      </c>
    </row>
    <row r="163" spans="2:39" x14ac:dyDescent="0.35">
      <c r="B163">
        <v>9</v>
      </c>
      <c r="C163">
        <v>30655</v>
      </c>
      <c r="E163">
        <v>9</v>
      </c>
      <c r="F163">
        <v>33705</v>
      </c>
      <c r="H163">
        <v>9</v>
      </c>
      <c r="I163">
        <v>40235</v>
      </c>
      <c r="K163">
        <v>9</v>
      </c>
      <c r="L163">
        <v>29247</v>
      </c>
      <c r="N163">
        <v>9</v>
      </c>
      <c r="O163">
        <v>32405</v>
      </c>
      <c r="Q163">
        <v>9</v>
      </c>
      <c r="R163">
        <v>36994</v>
      </c>
      <c r="T163">
        <v>9</v>
      </c>
      <c r="U163">
        <v>27251</v>
      </c>
      <c r="W163">
        <v>9</v>
      </c>
      <c r="X163">
        <v>29821</v>
      </c>
      <c r="Z163">
        <v>9</v>
      </c>
      <c r="AA163">
        <v>31831</v>
      </c>
      <c r="AC163">
        <v>9</v>
      </c>
      <c r="AD163">
        <v>13150</v>
      </c>
      <c r="AF163">
        <v>9</v>
      </c>
      <c r="AG163">
        <v>34046</v>
      </c>
      <c r="AI163">
        <v>9</v>
      </c>
      <c r="AJ163">
        <v>33449</v>
      </c>
      <c r="AK163">
        <f t="shared" si="44"/>
        <v>372789</v>
      </c>
      <c r="AL163">
        <f t="shared" si="42"/>
        <v>9.1000697904163777E-2</v>
      </c>
      <c r="AM163">
        <f t="shared" si="43"/>
        <v>1.0920083748499654</v>
      </c>
    </row>
    <row r="164" spans="2:39" x14ac:dyDescent="0.35">
      <c r="B164">
        <v>10</v>
      </c>
      <c r="C164">
        <v>31109</v>
      </c>
      <c r="E164">
        <v>10</v>
      </c>
      <c r="F164">
        <v>35855</v>
      </c>
      <c r="H164">
        <v>10</v>
      </c>
      <c r="I164">
        <v>39246</v>
      </c>
      <c r="K164">
        <v>10</v>
      </c>
      <c r="L164">
        <v>31538</v>
      </c>
      <c r="N164">
        <v>10</v>
      </c>
      <c r="O164">
        <v>29826</v>
      </c>
      <c r="Q164">
        <v>10</v>
      </c>
      <c r="R164">
        <v>34116</v>
      </c>
      <c r="T164">
        <v>10</v>
      </c>
      <c r="U164">
        <v>29979</v>
      </c>
      <c r="W164">
        <v>10</v>
      </c>
      <c r="X164">
        <v>36119</v>
      </c>
      <c r="Z164">
        <v>10</v>
      </c>
      <c r="AA164">
        <v>30944</v>
      </c>
      <c r="AC164">
        <v>10</v>
      </c>
      <c r="AD164">
        <v>16345</v>
      </c>
      <c r="AF164">
        <v>10</v>
      </c>
      <c r="AG164">
        <v>21730</v>
      </c>
      <c r="AI164">
        <v>10</v>
      </c>
      <c r="AJ164">
        <v>33740</v>
      </c>
      <c r="AK164">
        <f t="shared" si="44"/>
        <v>370547</v>
      </c>
      <c r="AL164">
        <f t="shared" si="42"/>
        <v>9.0453408245131081E-2</v>
      </c>
      <c r="AM164">
        <f t="shared" si="43"/>
        <v>1.0854408989415729</v>
      </c>
    </row>
    <row r="165" spans="2:39" x14ac:dyDescent="0.35">
      <c r="B165">
        <v>11</v>
      </c>
      <c r="C165">
        <v>15195</v>
      </c>
      <c r="E165">
        <v>11</v>
      </c>
      <c r="F165">
        <v>36996</v>
      </c>
      <c r="H165">
        <v>11</v>
      </c>
      <c r="I165">
        <v>40781</v>
      </c>
      <c r="K165">
        <v>11</v>
      </c>
      <c r="L165">
        <v>28835</v>
      </c>
      <c r="N165">
        <v>11</v>
      </c>
      <c r="O165">
        <v>29607</v>
      </c>
      <c r="Q165">
        <v>11</v>
      </c>
      <c r="R165">
        <v>40510</v>
      </c>
      <c r="T165">
        <v>11</v>
      </c>
      <c r="U165">
        <v>28797</v>
      </c>
      <c r="W165">
        <v>11</v>
      </c>
      <c r="X165">
        <v>31981</v>
      </c>
      <c r="Z165">
        <v>11</v>
      </c>
      <c r="AA165">
        <v>28970</v>
      </c>
      <c r="AC165">
        <v>11</v>
      </c>
      <c r="AD165">
        <v>15361</v>
      </c>
      <c r="AF165">
        <v>11</v>
      </c>
      <c r="AG165">
        <v>33450</v>
      </c>
      <c r="AI165">
        <v>11</v>
      </c>
      <c r="AJ165">
        <v>26462</v>
      </c>
      <c r="AK165">
        <f t="shared" si="44"/>
        <v>356945</v>
      </c>
      <c r="AL165">
        <f t="shared" si="42"/>
        <v>8.7133054122846262E-2</v>
      </c>
      <c r="AM165">
        <f t="shared" si="43"/>
        <v>1.0455966494741551</v>
      </c>
    </row>
    <row r="166" spans="2:39" x14ac:dyDescent="0.35">
      <c r="B166">
        <v>12</v>
      </c>
      <c r="C166">
        <v>26076</v>
      </c>
      <c r="E166">
        <v>12</v>
      </c>
      <c r="F166">
        <v>34427</v>
      </c>
      <c r="H166">
        <v>12</v>
      </c>
      <c r="I166">
        <v>34819</v>
      </c>
      <c r="K166">
        <v>12</v>
      </c>
      <c r="L166">
        <v>27123</v>
      </c>
      <c r="N166">
        <v>12</v>
      </c>
      <c r="O166">
        <v>21541</v>
      </c>
      <c r="Q166">
        <v>12</v>
      </c>
      <c r="R166">
        <v>31888</v>
      </c>
      <c r="T166">
        <v>12</v>
      </c>
      <c r="U166">
        <v>23706</v>
      </c>
      <c r="W166">
        <v>12</v>
      </c>
      <c r="X166">
        <v>26661</v>
      </c>
      <c r="Z166">
        <v>12</v>
      </c>
      <c r="AA166">
        <v>27453</v>
      </c>
      <c r="AC166">
        <v>12</v>
      </c>
      <c r="AD166">
        <v>18687</v>
      </c>
      <c r="AF166">
        <v>12</v>
      </c>
      <c r="AG166">
        <v>32707</v>
      </c>
      <c r="AI166">
        <v>12</v>
      </c>
      <c r="AJ166">
        <v>28128</v>
      </c>
      <c r="AK166">
        <f t="shared" si="44"/>
        <v>333216</v>
      </c>
      <c r="AL166">
        <f t="shared" si="42"/>
        <v>8.1340620438998562E-2</v>
      </c>
      <c r="AM166">
        <f t="shared" si="43"/>
        <v>0.97608744526798275</v>
      </c>
    </row>
    <row r="167" spans="2:39" x14ac:dyDescent="0.35">
      <c r="AK167">
        <f>SUM(AK155:AK166)</f>
        <v>4096551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penjualan_mobil_toyota</vt:lpstr>
      <vt:lpstr>DEKOMPOSISI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naufal fahmi</cp:lastModifiedBy>
  <dcterms:created xsi:type="dcterms:W3CDTF">2025-12-03T14:47:04Z</dcterms:created>
  <dcterms:modified xsi:type="dcterms:W3CDTF">2025-12-13T05:41:27Z</dcterms:modified>
</cp:coreProperties>
</file>